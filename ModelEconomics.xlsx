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yer/Desktop/Chateau Partners Mayer 2024/Claudio Coello 73/"/>
    </mc:Choice>
  </mc:AlternateContent>
  <xr:revisionPtr revIDLastSave="0" documentId="13_ncr:1_{657BC825-DF93-334E-AC4E-F5FFC83B1480}" xr6:coauthVersionLast="47" xr6:coauthVersionMax="47" xr10:uidLastSave="{00000000-0000-0000-0000-000000000000}"/>
  <bookViews>
    <workbookView xWindow="0" yWindow="500" windowWidth="28800" windowHeight="16340" xr2:uid="{8ADBEB62-2B9E-EB4B-B49B-73D4611A837A}"/>
  </bookViews>
  <sheets>
    <sheet name="1" sheetId="1" r:id="rId1"/>
  </sheets>
  <calcPr calcId="191028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1" i="1" l="1"/>
  <c r="V41" i="1"/>
  <c r="D9" i="1"/>
  <c r="K19" i="1" s="1"/>
  <c r="K28" i="1" s="1"/>
  <c r="I59" i="1"/>
  <c r="L10" i="1"/>
  <c r="L12" i="1"/>
  <c r="L26" i="1" s="1"/>
  <c r="K5" i="1"/>
  <c r="L5" i="1" s="1"/>
  <c r="X29" i="1"/>
  <c r="X31" i="1"/>
  <c r="X34" i="1"/>
  <c r="X37" i="1"/>
  <c r="D70" i="1"/>
  <c r="AE37" i="1"/>
  <c r="AD37" i="1"/>
  <c r="AC37" i="1"/>
  <c r="AB37" i="1"/>
  <c r="AA37" i="1"/>
  <c r="Z37" i="1"/>
  <c r="Y37" i="1"/>
  <c r="AE34" i="1"/>
  <c r="AD34" i="1"/>
  <c r="AC34" i="1"/>
  <c r="AB34" i="1"/>
  <c r="AA34" i="1"/>
  <c r="Z34" i="1"/>
  <c r="Y34" i="1"/>
  <c r="AE31" i="1"/>
  <c r="AD31" i="1"/>
  <c r="AC31" i="1"/>
  <c r="AB31" i="1"/>
  <c r="AA31" i="1"/>
  <c r="Z31" i="1"/>
  <c r="Y31" i="1"/>
  <c r="AE29" i="1"/>
  <c r="AD29" i="1"/>
  <c r="AC29" i="1"/>
  <c r="AB29" i="1"/>
  <c r="AA29" i="1"/>
  <c r="Z29" i="1"/>
  <c r="Y29" i="1"/>
  <c r="H29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H27" i="1"/>
  <c r="AE26" i="1"/>
  <c r="AD26" i="1"/>
  <c r="AC26" i="1"/>
  <c r="AB26" i="1"/>
  <c r="AA26" i="1"/>
  <c r="Z26" i="1"/>
  <c r="Y26" i="1"/>
  <c r="X26" i="1"/>
  <c r="K26" i="1"/>
  <c r="J26" i="1"/>
  <c r="H26" i="1"/>
  <c r="AE24" i="1"/>
  <c r="AE35" i="1" s="1"/>
  <c r="AD24" i="1"/>
  <c r="AD35" i="1" s="1"/>
  <c r="AC24" i="1"/>
  <c r="AC35" i="1" s="1"/>
  <c r="AB24" i="1"/>
  <c r="AB35" i="1" s="1"/>
  <c r="AA24" i="1"/>
  <c r="AA35" i="1" s="1"/>
  <c r="Z24" i="1"/>
  <c r="Z35" i="1" s="1"/>
  <c r="Y24" i="1"/>
  <c r="Y35" i="1" s="1"/>
  <c r="X24" i="1"/>
  <c r="X32" i="1" s="1"/>
  <c r="W24" i="1"/>
  <c r="V24" i="1"/>
  <c r="V32" i="1" s="1"/>
  <c r="U24" i="1"/>
  <c r="U35" i="1" s="1"/>
  <c r="T24" i="1"/>
  <c r="T32" i="1" s="1"/>
  <c r="S24" i="1"/>
  <c r="S32" i="1" s="1"/>
  <c r="R24" i="1"/>
  <c r="R32" i="1" s="1"/>
  <c r="Q24" i="1"/>
  <c r="Q32" i="1" s="1"/>
  <c r="P24" i="1"/>
  <c r="P32" i="1" s="1"/>
  <c r="O24" i="1"/>
  <c r="O32" i="1" s="1"/>
  <c r="N24" i="1"/>
  <c r="N32" i="1" s="1"/>
  <c r="M24" i="1"/>
  <c r="M32" i="1" s="1"/>
  <c r="L24" i="1"/>
  <c r="L35" i="1" s="1"/>
  <c r="K24" i="1"/>
  <c r="K35" i="1" s="1"/>
  <c r="J24" i="1"/>
  <c r="J35" i="1" s="1"/>
  <c r="H24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J19" i="1"/>
  <c r="J28" i="1" s="1"/>
  <c r="I19" i="1"/>
  <c r="I28" i="1" s="1"/>
  <c r="H19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H17" i="1"/>
  <c r="D17" i="1"/>
  <c r="D16" i="1"/>
  <c r="D15" i="1"/>
  <c r="D14" i="1"/>
  <c r="D10" i="1"/>
  <c r="D12" i="1"/>
  <c r="D13" i="1"/>
  <c r="D23" i="1"/>
  <c r="D25" i="1" s="1"/>
  <c r="D24" i="1"/>
  <c r="D31" i="1"/>
  <c r="V35" i="1" l="1"/>
  <c r="H68" i="1"/>
  <c r="E9" i="1"/>
  <c r="D18" i="1"/>
  <c r="L19" i="1"/>
  <c r="L28" i="1" s="1"/>
  <c r="X35" i="1"/>
  <c r="T35" i="1"/>
  <c r="S35" i="1"/>
  <c r="R35" i="1"/>
  <c r="Q35" i="1"/>
  <c r="P35" i="1"/>
  <c r="O35" i="1"/>
  <c r="N35" i="1"/>
  <c r="M35" i="1"/>
  <c r="H20" i="1"/>
  <c r="H25" i="1"/>
  <c r="L25" i="1"/>
  <c r="P25" i="1"/>
  <c r="T25" i="1"/>
  <c r="X25" i="1"/>
  <c r="AB25" i="1"/>
  <c r="H28" i="1"/>
  <c r="H32" i="1"/>
  <c r="L32" i="1"/>
  <c r="AB32" i="1"/>
  <c r="H35" i="1"/>
  <c r="M25" i="1"/>
  <c r="Q25" i="1"/>
  <c r="U25" i="1"/>
  <c r="Y25" i="1"/>
  <c r="AC25" i="1"/>
  <c r="Y32" i="1"/>
  <c r="AC32" i="1"/>
  <c r="J25" i="1"/>
  <c r="N25" i="1"/>
  <c r="R25" i="1"/>
  <c r="V25" i="1"/>
  <c r="Z25" i="1"/>
  <c r="AD25" i="1"/>
  <c r="J32" i="1"/>
  <c r="Z32" i="1"/>
  <c r="AD32" i="1"/>
  <c r="K25" i="1"/>
  <c r="O25" i="1"/>
  <c r="S25" i="1"/>
  <c r="W25" i="1"/>
  <c r="AA25" i="1"/>
  <c r="AE25" i="1"/>
  <c r="K32" i="1"/>
  <c r="AA32" i="1"/>
  <c r="AE32" i="1"/>
  <c r="L68" i="1" l="1"/>
  <c r="D69" i="1" s="1"/>
  <c r="D71" i="1" l="1"/>
  <c r="D72" i="1" s="1"/>
  <c r="B19" i="1"/>
  <c r="B8" i="1"/>
  <c r="H9" i="1"/>
  <c r="I7" i="1"/>
  <c r="J7" i="1" s="1"/>
  <c r="J9" i="1" s="1"/>
  <c r="I6" i="1"/>
  <c r="J6" i="1" s="1"/>
  <c r="K6" i="1" s="1"/>
  <c r="L6" i="1" s="1"/>
  <c r="I4" i="1"/>
  <c r="I9" i="1" l="1"/>
  <c r="I17" i="1"/>
  <c r="I23" i="1"/>
  <c r="I20" i="1"/>
  <c r="I29" i="1"/>
  <c r="I27" i="1"/>
  <c r="I26" i="1"/>
  <c r="I24" i="1"/>
  <c r="I18" i="1"/>
  <c r="AE23" i="1"/>
  <c r="AA23" i="1"/>
  <c r="W23" i="1"/>
  <c r="S23" i="1"/>
  <c r="O23" i="1"/>
  <c r="J23" i="1"/>
  <c r="AC18" i="1"/>
  <c r="Y18" i="1"/>
  <c r="U18" i="1"/>
  <c r="Q18" i="1"/>
  <c r="M18" i="1"/>
  <c r="AB18" i="1"/>
  <c r="T18" i="1"/>
  <c r="K18" i="1"/>
  <c r="AE18" i="1"/>
  <c r="S18" i="1"/>
  <c r="J18" i="1"/>
  <c r="AD23" i="1"/>
  <c r="Z23" i="1"/>
  <c r="V23" i="1"/>
  <c r="R23" i="1"/>
  <c r="N23" i="1"/>
  <c r="X18" i="1"/>
  <c r="P18" i="1"/>
  <c r="AA18" i="1"/>
  <c r="O18" i="1"/>
  <c r="AC23" i="1"/>
  <c r="Y23" i="1"/>
  <c r="U23" i="1"/>
  <c r="Q23" i="1"/>
  <c r="M23" i="1"/>
  <c r="H23" i="1"/>
  <c r="W18" i="1"/>
  <c r="AB23" i="1"/>
  <c r="X23" i="1"/>
  <c r="T23" i="1"/>
  <c r="P23" i="1"/>
  <c r="K23" i="1"/>
  <c r="AD18" i="1"/>
  <c r="Z18" i="1"/>
  <c r="V18" i="1"/>
  <c r="R18" i="1"/>
  <c r="N18" i="1"/>
  <c r="H21" i="1"/>
  <c r="H22" i="1" s="1"/>
  <c r="L18" i="1"/>
  <c r="L23" i="1"/>
  <c r="J21" i="1"/>
  <c r="H18" i="1"/>
  <c r="K21" i="1"/>
  <c r="L21" i="1"/>
  <c r="I21" i="1"/>
  <c r="K7" i="1"/>
  <c r="H30" i="1" l="1"/>
  <c r="H31" i="1" s="1"/>
  <c r="L22" i="1"/>
  <c r="I35" i="1"/>
  <c r="AE22" i="1"/>
  <c r="AB22" i="1"/>
  <c r="AC22" i="1"/>
  <c r="I22" i="1"/>
  <c r="I25" i="1"/>
  <c r="Z22" i="1"/>
  <c r="K22" i="1"/>
  <c r="AD22" i="1"/>
  <c r="X22" i="1"/>
  <c r="I32" i="1"/>
  <c r="J22" i="1"/>
  <c r="AA22" i="1"/>
  <c r="Y22" i="1"/>
  <c r="K9" i="1"/>
  <c r="L7" i="1"/>
  <c r="L9" i="1" s="1"/>
  <c r="H33" i="1" l="1"/>
  <c r="H36" i="1" s="1"/>
  <c r="H37" i="1" s="1"/>
  <c r="I30" i="1"/>
  <c r="I33" i="1" s="1"/>
  <c r="I36" i="1" s="1"/>
  <c r="S41" i="1"/>
  <c r="T41" i="1"/>
  <c r="M6" i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M12" i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T13" i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H34" i="1" l="1"/>
  <c r="I34" i="1" s="1"/>
  <c r="I31" i="1"/>
  <c r="I37" i="1"/>
  <c r="M5" i="1"/>
  <c r="M19" i="1" s="1"/>
  <c r="M28" i="1" s="1"/>
  <c r="M21" i="1" l="1"/>
  <c r="M10" i="1"/>
  <c r="M26" i="1" s="1"/>
  <c r="N5" i="1"/>
  <c r="N19" i="1" s="1"/>
  <c r="N28" i="1" s="1"/>
  <c r="L41" i="1"/>
  <c r="R41" i="1"/>
  <c r="Q41" i="1"/>
  <c r="P41" i="1"/>
  <c r="O41" i="1"/>
  <c r="N41" i="1"/>
  <c r="M41" i="1"/>
  <c r="K41" i="1"/>
  <c r="J41" i="1"/>
  <c r="I41" i="1"/>
  <c r="H41" i="1"/>
  <c r="M22" i="1" l="1"/>
  <c r="N21" i="1"/>
  <c r="O5" i="1"/>
  <c r="O19" i="1" s="1"/>
  <c r="O28" i="1" s="1"/>
  <c r="N10" i="1"/>
  <c r="N26" i="1" s="1"/>
  <c r="O21" i="1" l="1"/>
  <c r="O22" i="1" s="1"/>
  <c r="N22" i="1"/>
  <c r="P5" i="1"/>
  <c r="P19" i="1" s="1"/>
  <c r="P28" i="1" s="1"/>
  <c r="O10" i="1"/>
  <c r="O26" i="1" s="1"/>
  <c r="M7" i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S60" i="1"/>
  <c r="S57" i="1"/>
  <c r="S56" i="1"/>
  <c r="S52" i="1"/>
  <c r="K47" i="1"/>
  <c r="L47" i="1" s="1"/>
  <c r="J58" i="1"/>
  <c r="I49" i="1"/>
  <c r="I50" i="1" s="1"/>
  <c r="I61" i="1" s="1"/>
  <c r="H16" i="1"/>
  <c r="I60" i="1" l="1"/>
  <c r="P21" i="1"/>
  <c r="P22" i="1" s="1"/>
  <c r="S64" i="1"/>
  <c r="Q5" i="1"/>
  <c r="Q19" i="1" s="1"/>
  <c r="Q28" i="1" s="1"/>
  <c r="P10" i="1"/>
  <c r="P26" i="1" s="1"/>
  <c r="I16" i="1"/>
  <c r="J16" i="1"/>
  <c r="I51" i="1"/>
  <c r="I62" i="1" s="1"/>
  <c r="M47" i="1"/>
  <c r="L58" i="1"/>
  <c r="K58" i="1"/>
  <c r="S61" i="1"/>
  <c r="S62" i="1" s="1"/>
  <c r="Q21" i="1" l="1"/>
  <c r="Q10" i="1"/>
  <c r="Q26" i="1" s="1"/>
  <c r="R5" i="1"/>
  <c r="R19" i="1" s="1"/>
  <c r="R28" i="1" s="1"/>
  <c r="T56" i="1"/>
  <c r="T57" i="1"/>
  <c r="K16" i="1"/>
  <c r="I52" i="1"/>
  <c r="M58" i="1"/>
  <c r="N47" i="1"/>
  <c r="Q22" i="1" l="1"/>
  <c r="R21" i="1"/>
  <c r="S5" i="1"/>
  <c r="S19" i="1" s="1"/>
  <c r="S28" i="1" s="1"/>
  <c r="R10" i="1"/>
  <c r="R26" i="1" s="1"/>
  <c r="L16" i="1"/>
  <c r="I53" i="1"/>
  <c r="I63" i="1"/>
  <c r="O47" i="1"/>
  <c r="N58" i="1"/>
  <c r="S21" i="1" l="1"/>
  <c r="R22" i="1"/>
  <c r="T5" i="1"/>
  <c r="T19" i="1" s="1"/>
  <c r="T28" i="1" s="1"/>
  <c r="S10" i="1"/>
  <c r="S26" i="1" s="1"/>
  <c r="M9" i="1"/>
  <c r="M16" i="1" s="1"/>
  <c r="I64" i="1"/>
  <c r="O58" i="1"/>
  <c r="S22" i="1" l="1"/>
  <c r="T21" i="1"/>
  <c r="T22" i="1" s="1"/>
  <c r="T10" i="1"/>
  <c r="T26" i="1" s="1"/>
  <c r="U5" i="1"/>
  <c r="U19" i="1" s="1"/>
  <c r="U28" i="1" s="1"/>
  <c r="N9" i="1"/>
  <c r="N16" i="1" s="1"/>
  <c r="U21" i="1" l="1"/>
  <c r="U22" i="1" s="1"/>
  <c r="V5" i="1"/>
  <c r="V19" i="1" s="1"/>
  <c r="V28" i="1" s="1"/>
  <c r="U10" i="1"/>
  <c r="U26" i="1" s="1"/>
  <c r="O9" i="1"/>
  <c r="O16" i="1" s="1"/>
  <c r="V21" i="1" l="1"/>
  <c r="V22" i="1" s="1"/>
  <c r="V10" i="1"/>
  <c r="V26" i="1" s="1"/>
  <c r="W5" i="1"/>
  <c r="W19" i="1" s="1"/>
  <c r="W28" i="1" s="1"/>
  <c r="P9" i="1"/>
  <c r="P16" i="1" s="1"/>
  <c r="W21" i="1" l="1"/>
  <c r="W22" i="1" s="1"/>
  <c r="W10" i="1"/>
  <c r="X5" i="1"/>
  <c r="X19" i="1" s="1"/>
  <c r="Q9" i="1"/>
  <c r="Q16" i="1" s="1"/>
  <c r="X21" i="1" l="1"/>
  <c r="X28" i="1"/>
  <c r="X10" i="1"/>
  <c r="Y10" i="1" s="1"/>
  <c r="Z10" i="1" s="1"/>
  <c r="AA10" i="1" s="1"/>
  <c r="AB10" i="1" s="1"/>
  <c r="AC10" i="1" s="1"/>
  <c r="AD10" i="1" s="1"/>
  <c r="AE10" i="1" s="1"/>
  <c r="W26" i="1"/>
  <c r="T59" i="1" s="1"/>
  <c r="Y5" i="1"/>
  <c r="Y19" i="1" s="1"/>
  <c r="R9" i="1"/>
  <c r="R16" i="1" s="1"/>
  <c r="X30" i="1" l="1"/>
  <c r="X33" i="1" s="1"/>
  <c r="X36" i="1" s="1"/>
  <c r="Y28" i="1"/>
  <c r="Y21" i="1"/>
  <c r="Z5" i="1"/>
  <c r="Z19" i="1" s="1"/>
  <c r="S9" i="1"/>
  <c r="S16" i="1" s="1"/>
  <c r="Y30" i="1" l="1"/>
  <c r="Y33" i="1" s="1"/>
  <c r="Y36" i="1" s="1"/>
  <c r="Z28" i="1"/>
  <c r="Z21" i="1"/>
  <c r="AA5" i="1"/>
  <c r="AA19" i="1" s="1"/>
  <c r="T9" i="1"/>
  <c r="T16" i="1" s="1"/>
  <c r="Z30" i="1" l="1"/>
  <c r="Z33" i="1" s="1"/>
  <c r="Z36" i="1" s="1"/>
  <c r="AA28" i="1"/>
  <c r="AA21" i="1"/>
  <c r="AB5" i="1"/>
  <c r="AB19" i="1" s="1"/>
  <c r="U9" i="1"/>
  <c r="U16" i="1" s="1"/>
  <c r="AA30" i="1" l="1"/>
  <c r="AA33" i="1" s="1"/>
  <c r="AA36" i="1" s="1"/>
  <c r="AB21" i="1"/>
  <c r="AB28" i="1"/>
  <c r="AC5" i="1"/>
  <c r="AC19" i="1" s="1"/>
  <c r="V9" i="1"/>
  <c r="V16" i="1" s="1"/>
  <c r="AB30" i="1" l="1"/>
  <c r="AB33" i="1" s="1"/>
  <c r="AB36" i="1" s="1"/>
  <c r="AC28" i="1"/>
  <c r="AC21" i="1"/>
  <c r="AD5" i="1"/>
  <c r="AD19" i="1" s="1"/>
  <c r="W9" i="1"/>
  <c r="W16" i="1" s="1"/>
  <c r="AC30" i="1" l="1"/>
  <c r="AC33" i="1" s="1"/>
  <c r="AC36" i="1" s="1"/>
  <c r="AD28" i="1"/>
  <c r="AD21" i="1"/>
  <c r="AE5" i="1"/>
  <c r="AE19" i="1" s="1"/>
  <c r="T58" i="1"/>
  <c r="X9" i="1"/>
  <c r="X16" i="1" s="1"/>
  <c r="AD30" i="1" l="1"/>
  <c r="AD33" i="1" s="1"/>
  <c r="AD36" i="1" s="1"/>
  <c r="AE28" i="1"/>
  <c r="AE21" i="1"/>
  <c r="Y9" i="1"/>
  <c r="Y16" i="1" s="1"/>
  <c r="AE30" i="1" l="1"/>
  <c r="AE33" i="1" s="1"/>
  <c r="AE36" i="1" s="1"/>
  <c r="Z9" i="1"/>
  <c r="Z16" i="1" s="1"/>
  <c r="T61" i="1" l="1"/>
  <c r="AA9" i="1"/>
  <c r="AA16" i="1" s="1"/>
  <c r="AB9" i="1" l="1"/>
  <c r="AB16" i="1" s="1"/>
  <c r="AC9" i="1" l="1"/>
  <c r="AC16" i="1" s="1"/>
  <c r="AD9" i="1" l="1"/>
  <c r="AD16" i="1" s="1"/>
  <c r="AE9" i="1"/>
  <c r="AE16" i="1" s="1"/>
  <c r="S53" i="1" l="1"/>
  <c r="I40" i="1" l="1"/>
  <c r="H40" i="1" l="1"/>
  <c r="J29" i="1" l="1"/>
  <c r="J30" i="1" l="1"/>
  <c r="J33" i="1" s="1"/>
  <c r="J40" i="1" s="1"/>
  <c r="J31" i="1" l="1"/>
  <c r="J34" i="1"/>
  <c r="J36" i="1"/>
  <c r="J37" i="1" s="1"/>
  <c r="U32" i="1" l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W32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W35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K40" i="1"/>
  <c r="L40" i="1"/>
  <c r="M40" i="1"/>
  <c r="N40" i="1"/>
  <c r="O40" i="1"/>
  <c r="P40" i="1"/>
  <c r="Q40" i="1"/>
  <c r="R40" i="1"/>
  <c r="S40" i="1"/>
  <c r="T40" i="1"/>
  <c r="U40" i="1"/>
  <c r="V40" i="1"/>
  <c r="B41" i="1"/>
  <c r="D41" i="1"/>
  <c r="W41" i="1"/>
  <c r="I42" i="1"/>
  <c r="D43" i="1"/>
  <c r="D44" i="1"/>
  <c r="D45" i="1"/>
  <c r="D46" i="1"/>
  <c r="I47" i="1"/>
  <c r="D48" i="1"/>
  <c r="D49" i="1"/>
  <c r="D50" i="1"/>
  <c r="D51" i="1"/>
  <c r="D53" i="1"/>
  <c r="D54" i="1"/>
  <c r="D55" i="1"/>
  <c r="D57" i="1"/>
  <c r="D58" i="1"/>
  <c r="I58" i="1"/>
  <c r="D59" i="1"/>
  <c r="T60" i="1"/>
  <c r="T62" i="1"/>
  <c r="T63" i="1"/>
  <c r="S65" i="1"/>
</calcChain>
</file>

<file path=xl/sharedStrings.xml><?xml version="1.0" encoding="utf-8"?>
<sst xmlns="http://schemas.openxmlformats.org/spreadsheetml/2006/main" count="123" uniqueCount="106">
  <si>
    <t>Entry Assumptions</t>
  </si>
  <si>
    <t>Base Period</t>
  </si>
  <si>
    <t>Entry Month</t>
  </si>
  <si>
    <t>Capex Period</t>
  </si>
  <si>
    <t>Capex Timing</t>
  </si>
  <si>
    <t>IPC</t>
  </si>
  <si>
    <t>SQM</t>
  </si>
  <si>
    <t>Date</t>
  </si>
  <si>
    <t>Asking Price</t>
  </si>
  <si>
    <t>Capex</t>
  </si>
  <si>
    <t>Running CF (Mes)</t>
  </si>
  <si>
    <t>Utilities</t>
  </si>
  <si>
    <t>Seguro + Tasación</t>
  </si>
  <si>
    <t>IBI</t>
  </si>
  <si>
    <t>Notario Registro</t>
  </si>
  <si>
    <t>Gastos Com</t>
  </si>
  <si>
    <t>Apertura Fin + AJD</t>
  </si>
  <si>
    <t>Certificación VIO</t>
  </si>
  <si>
    <t>Lawyers</t>
  </si>
  <si>
    <t>Maturity (Meses)</t>
  </si>
  <si>
    <t>Investor CF (Mes)</t>
  </si>
  <si>
    <t>Tasa Mensual</t>
  </si>
  <si>
    <t>Acquisition</t>
  </si>
  <si>
    <t>LTV</t>
  </si>
  <si>
    <t>Closing Costs</t>
  </si>
  <si>
    <t>Mortgage Debt</t>
  </si>
  <si>
    <t>Capex Deployed</t>
  </si>
  <si>
    <t>Capex Debt</t>
  </si>
  <si>
    <t>Fin Costs</t>
  </si>
  <si>
    <t xml:space="preserve">Amort Debt </t>
  </si>
  <si>
    <t>BL Principal</t>
  </si>
  <si>
    <t>Exit Price</t>
  </si>
  <si>
    <t>BL Interest Rate</t>
  </si>
  <si>
    <t>Broker Fee Exit</t>
  </si>
  <si>
    <t>BL Fees (2% + 1,5%)</t>
  </si>
  <si>
    <t>Opex Leakage</t>
  </si>
  <si>
    <t>Acquisition Fee</t>
  </si>
  <si>
    <t>Capex Fee</t>
  </si>
  <si>
    <t>Exit Assumptions</t>
  </si>
  <si>
    <t>Management Fee</t>
  </si>
  <si>
    <t>Exit Month</t>
  </si>
  <si>
    <t>FCF Pre Tax &amp; Prom.</t>
  </si>
  <si>
    <t>Equity Exposure</t>
  </si>
  <si>
    <t>Broker Fee (VAT Inc)</t>
  </si>
  <si>
    <t>Promote CH</t>
  </si>
  <si>
    <t>Corp Tax</t>
  </si>
  <si>
    <t>Chateau Fees</t>
  </si>
  <si>
    <t>Promote Calculation</t>
  </si>
  <si>
    <t>Management</t>
  </si>
  <si>
    <t>Promote</t>
  </si>
  <si>
    <t>IRR Hurdle</t>
  </si>
  <si>
    <t>SENSIBILIDADES PROJECT</t>
  </si>
  <si>
    <t>Sources</t>
  </si>
  <si>
    <t>Uses</t>
  </si>
  <si>
    <t>Arras</t>
  </si>
  <si>
    <t>MoiC</t>
  </si>
  <si>
    <t>Exit Value Eur/sqm</t>
  </si>
  <si>
    <t>Equity 1</t>
  </si>
  <si>
    <t>Equity 2</t>
  </si>
  <si>
    <t>CAPEX</t>
  </si>
  <si>
    <t>Profit</t>
  </si>
  <si>
    <t>Equity 3</t>
  </si>
  <si>
    <t>Opex</t>
  </si>
  <si>
    <t>Max. Eq. Exp</t>
  </si>
  <si>
    <t>FB Debt 1</t>
  </si>
  <si>
    <t>MOIC Gross</t>
  </si>
  <si>
    <t>Entry Value</t>
  </si>
  <si>
    <t>FB Debt 2</t>
  </si>
  <si>
    <t>Financing</t>
  </si>
  <si>
    <t>Total</t>
  </si>
  <si>
    <t>Investor IRR Net</t>
  </si>
  <si>
    <t>Total Equity Raised</t>
  </si>
  <si>
    <t>Total Equity Needed</t>
  </si>
  <si>
    <t>MOIC Net</t>
  </si>
  <si>
    <t>CH Fees</t>
  </si>
  <si>
    <t>IRR</t>
  </si>
  <si>
    <t>CH Promote</t>
  </si>
  <si>
    <t>FCF to the Equity</t>
  </si>
  <si>
    <t>Corp Tax &amp; TIVUL</t>
  </si>
  <si>
    <t>TIVUL</t>
  </si>
  <si>
    <t>Project IRR Gross</t>
  </si>
  <si>
    <t>Total Dev Cost</t>
  </si>
  <si>
    <t>Debt Entry Bank</t>
  </si>
  <si>
    <t>Debt Entry BL</t>
  </si>
  <si>
    <t>Franco</t>
  </si>
  <si>
    <t>Others</t>
  </si>
  <si>
    <t>Equity Comited</t>
  </si>
  <si>
    <t>Equity Pending</t>
  </si>
  <si>
    <t>Acquisition (sobre Debt)</t>
  </si>
  <si>
    <t>*Estos Uses no incluyen el exit broker fee</t>
  </si>
  <si>
    <t>Check</t>
  </si>
  <si>
    <t>Chilenos</t>
  </si>
  <si>
    <t>MOWA</t>
  </si>
  <si>
    <t>Paco</t>
  </si>
  <si>
    <t>LPs Paco</t>
  </si>
  <si>
    <t>Cuetara</t>
  </si>
  <si>
    <t>Equity Needed</t>
  </si>
  <si>
    <t>VAT</t>
  </si>
  <si>
    <t>Fees Net VAT</t>
  </si>
  <si>
    <t>Running Fees</t>
  </si>
  <si>
    <t>FCF Pre Promote</t>
  </si>
  <si>
    <t>ARRAS / BRIDGE LOAN</t>
  </si>
  <si>
    <t>Misc</t>
  </si>
  <si>
    <t>ITP</t>
  </si>
  <si>
    <t>Pase</t>
  </si>
  <si>
    <t>Claudio Coello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</si>
</sst>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_-* #,##0\ &quot;€&quot;_-;\-* #,##0\ &quot;€&quot;_-;_-* &quot;-&quot;\ &quot;€&quot;_-;_-@_-"/>
    <numFmt numFmtId="165" formatCode="_-* #,##0.00_-;\-* #,##0.00_-;_-* &quot;-&quot;??_-;_-@_-"/>
    <numFmt numFmtId="166" formatCode="&quot;Mes&quot;\ 0"/>
    <numFmt numFmtId="167" formatCode="_-* #,##0\ _€_-;\-* #,##0\ _€_-;_-* &quot;-&quot;\ _€_-;_-@_-"/>
    <numFmt numFmtId="168" formatCode="0\ &quot;Meses&quot;"/>
    <numFmt numFmtId="169" formatCode="0\ &quot;sqm&quot;"/>
    <numFmt numFmtId="170" formatCode="#,##0\ &quot;€/sqm&quot;"/>
    <numFmt numFmtId="171" formatCode="[$-409]mmm\-yy;@"/>
    <numFmt numFmtId="172" formatCode="_-* #,##0_-;\-* #,##0_-;_-* &quot;-&quot;??_-;_-@_-"/>
    <numFmt numFmtId="173" formatCode="0.00&quot;x&quot;"/>
    <numFmt numFmtId="174" formatCode="0.0\ &quot;Año Carencia&quot;"/>
    <numFmt numFmtId="175" formatCode="0.00%\ &quot;Anual&quot;"/>
    <numFmt numFmtId="176" formatCode="0.0%\ &quot;Mensual&quot;"/>
    <numFmt numFmtId="177" formatCode="0.0%"/>
    <numFmt numFmtId="178" formatCode="[$]d/m/yy;@" x16r2:formatCode16="[$-en-ES,1]d/m/yy;@"/>
    <numFmt numFmtId="179" formatCode="0.000%"/>
    <numFmt numFmtId="180" formatCode="#,##0\ &quot;€&quot;;\ \(#,##0\)\ &quot;€&quot;"/>
    <numFmt numFmtId="181" formatCode="0.00\ &quot;x&quot;"/>
    <numFmt numFmtId="182" formatCode="#,##0\ &quot;€/m2&quot;"/>
    <numFmt numFmtId="183" formatCode="#,##0\ &quot;€&quot;;\ \(#,##0\)\ &quot;€&quot;;\ &quot;-&quot;"/>
    <numFmt numFmtId="184" formatCode="0%\ &quot;DPP&quot;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0" tint="-0.14999847407452621"/>
      <name val="Calibri"/>
      <family val="2"/>
      <scheme val="minor"/>
    </font>
    <font>
      <i/>
      <sz val="12"/>
      <color theme="0" tint="-0.249977111117893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  <font>
      <sz val="12"/>
      <color rgb="FF0070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FF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0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medium">
        <color indexed="64"/>
      </right>
      <top/>
      <bottom style="thin">
        <color theme="0" tint="-0.24994659260841701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1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5" fillId="4" borderId="3" xfId="1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66" fontId="5" fillId="4" borderId="0" xfId="1" applyNumberFormat="1" applyFont="1" applyFill="1" applyAlignment="1">
      <alignment vertical="center"/>
    </xf>
    <xf numFmtId="0" fontId="0" fillId="0" borderId="7" xfId="0" applyBorder="1" applyAlignment="1">
      <alignment vertical="center"/>
    </xf>
    <xf numFmtId="0" fontId="5" fillId="4" borderId="0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7" fontId="3" fillId="2" borderId="0" xfId="1" applyNumberFormat="1" applyFont="1" applyFill="1" applyBorder="1" applyAlignment="1">
      <alignment vertical="center"/>
    </xf>
    <xf numFmtId="168" fontId="5" fillId="4" borderId="0" xfId="1" applyNumberFormat="1" applyFont="1" applyFill="1" applyAlignment="1">
      <alignment vertical="center"/>
    </xf>
    <xf numFmtId="9" fontId="5" fillId="4" borderId="0" xfId="0" applyNumberFormat="1" applyFont="1" applyFill="1" applyAlignment="1">
      <alignment horizontal="center" vertical="center"/>
    </xf>
    <xf numFmtId="9" fontId="8" fillId="2" borderId="0" xfId="0" applyNumberFormat="1" applyFont="1" applyFill="1" applyAlignment="1">
      <alignment horizontal="center" vertical="center"/>
    </xf>
    <xf numFmtId="9" fontId="8" fillId="2" borderId="8" xfId="0" applyNumberFormat="1" applyFont="1" applyFill="1" applyBorder="1" applyAlignment="1">
      <alignment horizontal="center" vertical="center"/>
    </xf>
    <xf numFmtId="9" fontId="8" fillId="2" borderId="9" xfId="0" applyNumberFormat="1" applyFont="1" applyFill="1" applyBorder="1" applyAlignment="1">
      <alignment horizontal="center" vertical="center"/>
    </xf>
    <xf numFmtId="167" fontId="0" fillId="2" borderId="0" xfId="1" applyNumberFormat="1" applyFont="1" applyFill="1" applyBorder="1" applyAlignment="1">
      <alignment vertical="center"/>
    </xf>
    <xf numFmtId="169" fontId="5" fillId="4" borderId="0" xfId="1" applyNumberFormat="1" applyFont="1" applyFill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14" fontId="5" fillId="4" borderId="12" xfId="0" applyNumberFormat="1" applyFont="1" applyFill="1" applyBorder="1" applyAlignment="1">
      <alignment horizontal="center" vertical="center"/>
    </xf>
    <xf numFmtId="14" fontId="6" fillId="2" borderId="12" xfId="0" applyNumberFormat="1" applyFont="1" applyFill="1" applyBorder="1" applyAlignment="1">
      <alignment horizontal="center" vertical="center"/>
    </xf>
    <xf numFmtId="14" fontId="6" fillId="2" borderId="13" xfId="0" applyNumberFormat="1" applyFont="1" applyFill="1" applyBorder="1" applyAlignment="1">
      <alignment horizontal="center" vertical="center"/>
    </xf>
    <xf numFmtId="14" fontId="6" fillId="2" borderId="14" xfId="0" applyNumberFormat="1" applyFont="1" applyFill="1" applyBorder="1" applyAlignment="1">
      <alignment horizontal="center" vertical="center"/>
    </xf>
    <xf numFmtId="170" fontId="8" fillId="0" borderId="0" xfId="0" applyNumberFormat="1" applyFont="1" applyAlignment="1">
      <alignment vertical="center"/>
    </xf>
    <xf numFmtId="9" fontId="5" fillId="4" borderId="0" xfId="0" applyNumberFormat="1" applyFont="1" applyFill="1" applyAlignment="1">
      <alignment horizontal="right" vertical="center"/>
    </xf>
    <xf numFmtId="164" fontId="5" fillId="4" borderId="0" xfId="1" applyNumberFormat="1" applyFont="1" applyFill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171" fontId="3" fillId="5" borderId="3" xfId="0" applyNumberFormat="1" applyFont="1" applyFill="1" applyBorder="1" applyAlignment="1">
      <alignment horizontal="center" vertical="center"/>
    </xf>
    <xf numFmtId="171" fontId="3" fillId="5" borderId="4" xfId="0" applyNumberFormat="1" applyFont="1" applyFill="1" applyBorder="1" applyAlignment="1">
      <alignment horizontal="center" vertical="center"/>
    </xf>
    <xf numFmtId="171" fontId="3" fillId="5" borderId="5" xfId="0" applyNumberFormat="1" applyFont="1" applyFill="1" applyBorder="1" applyAlignment="1">
      <alignment horizontal="center" vertical="center"/>
    </xf>
    <xf numFmtId="172" fontId="0" fillId="0" borderId="0" xfId="0" applyNumberFormat="1" applyAlignment="1">
      <alignment vertical="center"/>
    </xf>
    <xf numFmtId="172" fontId="9" fillId="0" borderId="0" xfId="1" applyNumberFormat="1" applyFont="1" applyAlignment="1">
      <alignment vertical="center"/>
    </xf>
    <xf numFmtId="167" fontId="5" fillId="4" borderId="0" xfId="1" applyNumberFormat="1" applyFont="1" applyFill="1" applyBorder="1" applyAlignment="1">
      <alignment vertical="center"/>
    </xf>
    <xf numFmtId="167" fontId="0" fillId="0" borderId="0" xfId="1" applyNumberFormat="1" applyFont="1" applyBorder="1" applyAlignment="1">
      <alignment vertical="center"/>
    </xf>
    <xf numFmtId="167" fontId="0" fillId="0" borderId="8" xfId="1" applyNumberFormat="1" applyFont="1" applyBorder="1" applyAlignment="1">
      <alignment vertical="center"/>
    </xf>
    <xf numFmtId="167" fontId="0" fillId="0" borderId="9" xfId="1" applyNumberFormat="1" applyFont="1" applyBorder="1" applyAlignment="1">
      <alignment vertical="center"/>
    </xf>
    <xf numFmtId="167" fontId="3" fillId="2" borderId="0" xfId="0" applyNumberFormat="1" applyFont="1" applyFill="1" applyAlignment="1">
      <alignment vertical="center"/>
    </xf>
    <xf numFmtId="10" fontId="5" fillId="4" borderId="0" xfId="0" applyNumberFormat="1" applyFont="1" applyFill="1" applyAlignment="1">
      <alignment horizontal="right" vertical="center"/>
    </xf>
    <xf numFmtId="172" fontId="5" fillId="4" borderId="0" xfId="1" applyNumberFormat="1" applyFont="1" applyFill="1" applyAlignment="1">
      <alignment vertical="center"/>
    </xf>
    <xf numFmtId="167" fontId="7" fillId="2" borderId="0" xfId="1" applyNumberFormat="1" applyFont="1" applyFill="1" applyBorder="1" applyAlignment="1">
      <alignment vertical="center"/>
    </xf>
    <xf numFmtId="167" fontId="5" fillId="2" borderId="0" xfId="1" applyNumberFormat="1" applyFont="1" applyFill="1" applyBorder="1" applyAlignment="1">
      <alignment vertical="center"/>
    </xf>
    <xf numFmtId="167" fontId="0" fillId="0" borderId="14" xfId="1" applyNumberFormat="1" applyFont="1" applyBorder="1" applyAlignment="1">
      <alignment vertical="center"/>
    </xf>
    <xf numFmtId="167" fontId="10" fillId="2" borderId="0" xfId="1" applyNumberFormat="1" applyFont="1" applyFill="1" applyBorder="1" applyAlignment="1">
      <alignment vertical="center"/>
    </xf>
    <xf numFmtId="0" fontId="0" fillId="0" borderId="0" xfId="0" applyAlignment="1">
      <alignment horizontal="right" vertical="center"/>
    </xf>
    <xf numFmtId="0" fontId="3" fillId="0" borderId="3" xfId="0" applyFont="1" applyBorder="1" applyAlignment="1">
      <alignment vertical="center"/>
    </xf>
    <xf numFmtId="167" fontId="3" fillId="0" borderId="3" xfId="0" applyNumberFormat="1" applyFont="1" applyBorder="1" applyAlignment="1">
      <alignment vertical="center"/>
    </xf>
    <xf numFmtId="173" fontId="8" fillId="2" borderId="0" xfId="0" applyNumberFormat="1" applyFont="1" applyFill="1" applyAlignment="1">
      <alignment vertical="center"/>
    </xf>
    <xf numFmtId="164" fontId="7" fillId="0" borderId="0" xfId="1" applyNumberFormat="1" applyFont="1" applyBorder="1" applyAlignment="1">
      <alignment vertical="center"/>
    </xf>
    <xf numFmtId="164" fontId="7" fillId="2" borderId="0" xfId="1" applyNumberFormat="1" applyFont="1" applyFill="1" applyBorder="1" applyAlignment="1">
      <alignment vertical="center"/>
    </xf>
    <xf numFmtId="174" fontId="5" fillId="4" borderId="0" xfId="1" applyNumberFormat="1" applyFont="1" applyFill="1" applyAlignment="1">
      <alignment horizontal="right" vertical="center"/>
    </xf>
    <xf numFmtId="168" fontId="7" fillId="2" borderId="0" xfId="0" applyNumberFormat="1" applyFont="1" applyFill="1" applyAlignment="1">
      <alignment vertical="center"/>
    </xf>
    <xf numFmtId="175" fontId="5" fillId="4" borderId="0" xfId="0" applyNumberFormat="1" applyFont="1" applyFill="1" applyAlignment="1">
      <alignment vertical="center"/>
    </xf>
    <xf numFmtId="176" fontId="7" fillId="2" borderId="0" xfId="0" applyNumberFormat="1" applyFont="1" applyFill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7" fontId="11" fillId="2" borderId="3" xfId="0" applyNumberFormat="1" applyFont="1" applyFill="1" applyBorder="1" applyAlignment="1">
      <alignment vertical="center"/>
    </xf>
    <xf numFmtId="167" fontId="11" fillId="2" borderId="4" xfId="0" applyNumberFormat="1" applyFont="1" applyFill="1" applyBorder="1" applyAlignment="1">
      <alignment vertical="center"/>
    </xf>
    <xf numFmtId="167" fontId="11" fillId="2" borderId="5" xfId="0" applyNumberFormat="1" applyFont="1" applyFill="1" applyBorder="1" applyAlignment="1">
      <alignment vertical="center"/>
    </xf>
    <xf numFmtId="167" fontId="11" fillId="2" borderId="0" xfId="0" applyNumberFormat="1" applyFont="1" applyFill="1" applyAlignment="1">
      <alignment vertical="center"/>
    </xf>
    <xf numFmtId="9" fontId="7" fillId="2" borderId="0" xfId="0" applyNumberFormat="1" applyFont="1" applyFill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7" fontId="11" fillId="2" borderId="8" xfId="0" applyNumberFormat="1" applyFont="1" applyFill="1" applyBorder="1" applyAlignment="1">
      <alignment vertical="center"/>
    </xf>
    <xf numFmtId="167" fontId="11" fillId="2" borderId="9" xfId="0" applyNumberFormat="1" applyFont="1" applyFill="1" applyBorder="1" applyAlignment="1">
      <alignment vertical="center"/>
    </xf>
    <xf numFmtId="164" fontId="12" fillId="4" borderId="0" xfId="1" applyNumberFormat="1" applyFont="1" applyFill="1" applyAlignment="1">
      <alignment vertical="center"/>
    </xf>
    <xf numFmtId="0" fontId="0" fillId="0" borderId="15" xfId="0" applyBorder="1" applyAlignment="1">
      <alignment vertical="center"/>
    </xf>
    <xf numFmtId="0" fontId="3" fillId="0" borderId="16" xfId="0" applyFont="1" applyBorder="1" applyAlignment="1">
      <alignment vertical="center"/>
    </xf>
    <xf numFmtId="0" fontId="0" fillId="0" borderId="17" xfId="0" applyBorder="1" applyAlignment="1">
      <alignment vertical="center"/>
    </xf>
    <xf numFmtId="166" fontId="5" fillId="4" borderId="18" xfId="1" applyNumberFormat="1" applyFont="1" applyFill="1" applyBorder="1" applyAlignment="1">
      <alignment vertical="center"/>
    </xf>
    <xf numFmtId="164" fontId="7" fillId="0" borderId="19" xfId="1" applyNumberFormat="1" applyFont="1" applyFill="1" applyBorder="1" applyAlignment="1">
      <alignment vertical="center"/>
    </xf>
    <xf numFmtId="167" fontId="13" fillId="2" borderId="0" xfId="0" applyNumberFormat="1" applyFont="1" applyFill="1" applyAlignment="1">
      <alignment vertical="center"/>
    </xf>
    <xf numFmtId="9" fontId="5" fillId="4" borderId="18" xfId="0" applyNumberFormat="1" applyFont="1" applyFill="1" applyBorder="1" applyAlignment="1">
      <alignment vertical="center"/>
    </xf>
    <xf numFmtId="176" fontId="7" fillId="2" borderId="19" xfId="0" applyNumberFormat="1" applyFont="1" applyFill="1" applyBorder="1" applyAlignment="1">
      <alignment vertical="center"/>
    </xf>
    <xf numFmtId="177" fontId="5" fillId="4" borderId="18" xfId="0" applyNumberFormat="1" applyFont="1" applyFill="1" applyBorder="1" applyAlignment="1">
      <alignment vertical="center"/>
    </xf>
    <xf numFmtId="164" fontId="0" fillId="0" borderId="19" xfId="0" applyNumberFormat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9" fontId="5" fillId="4" borderId="22" xfId="0" applyNumberFormat="1" applyFont="1" applyFill="1" applyBorder="1" applyAlignment="1">
      <alignment vertical="center"/>
    </xf>
    <xf numFmtId="172" fontId="5" fillId="4" borderId="0" xfId="1" applyNumberFormat="1" applyFont="1" applyFill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167" fontId="13" fillId="2" borderId="24" xfId="0" applyNumberFormat="1" applyFont="1" applyFill="1" applyBorder="1" applyAlignment="1">
      <alignment vertical="center"/>
    </xf>
    <xf numFmtId="167" fontId="13" fillId="2" borderId="25" xfId="0" applyNumberFormat="1" applyFont="1" applyFill="1" applyBorder="1" applyAlignment="1">
      <alignment vertical="center"/>
    </xf>
    <xf numFmtId="164" fontId="2" fillId="4" borderId="0" xfId="1" applyNumberFormat="1" applyFont="1" applyFill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7" fontId="14" fillId="2" borderId="0" xfId="0" applyNumberFormat="1" applyFont="1" applyFill="1" applyAlignment="1">
      <alignment vertical="center"/>
    </xf>
    <xf numFmtId="167" fontId="14" fillId="2" borderId="9" xfId="0" applyNumberFormat="1" applyFont="1" applyFill="1" applyBorder="1" applyAlignment="1">
      <alignment vertical="center"/>
    </xf>
    <xf numFmtId="10" fontId="5" fillId="4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2" borderId="7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9" fontId="5" fillId="4" borderId="0" xfId="0" applyNumberFormat="1" applyFont="1" applyFill="1" applyAlignment="1">
      <alignment vertical="center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167" fontId="14" fillId="2" borderId="12" xfId="0" applyNumberFormat="1" applyFont="1" applyFill="1" applyBorder="1" applyAlignment="1">
      <alignment vertical="center"/>
    </xf>
    <xf numFmtId="167" fontId="14" fillId="2" borderId="14" xfId="0" applyNumberFormat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1" applyNumberFormat="1" applyFont="1" applyFill="1" applyBorder="1" applyAlignment="1">
      <alignment vertical="center"/>
    </xf>
    <xf numFmtId="178" fontId="3" fillId="2" borderId="0" xfId="0" applyNumberFormat="1" applyFont="1" applyFill="1" applyAlignment="1">
      <alignment horizontal="center" vertical="center"/>
    </xf>
    <xf numFmtId="0" fontId="3" fillId="2" borderId="0" xfId="1" applyNumberFormat="1" applyFont="1" applyFill="1" applyBorder="1" applyAlignment="1">
      <alignment vertical="center"/>
    </xf>
    <xf numFmtId="167" fontId="0" fillId="0" borderId="0" xfId="0" applyNumberFormat="1" applyAlignment="1">
      <alignment vertical="center"/>
    </xf>
    <xf numFmtId="167" fontId="15" fillId="4" borderId="0" xfId="0" applyNumberFormat="1" applyFont="1" applyFill="1" applyAlignment="1">
      <alignment vertical="center"/>
    </xf>
    <xf numFmtId="164" fontId="3" fillId="2" borderId="0" xfId="1" applyNumberFormat="1" applyFont="1" applyFill="1" applyBorder="1" applyAlignment="1">
      <alignment vertical="center"/>
    </xf>
    <xf numFmtId="179" fontId="0" fillId="2" borderId="0" xfId="2" applyNumberFormat="1" applyFont="1" applyFill="1" applyAlignment="1">
      <alignment vertical="center"/>
    </xf>
    <xf numFmtId="164" fontId="0" fillId="2" borderId="0" xfId="1" applyNumberFormat="1" applyFont="1" applyFill="1" applyBorder="1" applyAlignment="1">
      <alignment vertical="center"/>
    </xf>
    <xf numFmtId="10" fontId="3" fillId="0" borderId="0" xfId="0" applyNumberFormat="1" applyFont="1" applyAlignment="1">
      <alignment vertical="center"/>
    </xf>
    <xf numFmtId="0" fontId="3" fillId="5" borderId="26" xfId="0" applyFont="1" applyFill="1" applyBorder="1" applyAlignment="1">
      <alignment vertical="center"/>
    </xf>
    <xf numFmtId="172" fontId="3" fillId="5" borderId="27" xfId="0" applyNumberFormat="1" applyFont="1" applyFill="1" applyBorder="1" applyAlignment="1">
      <alignment vertical="center"/>
    </xf>
    <xf numFmtId="0" fontId="16" fillId="6" borderId="26" xfId="0" applyFont="1" applyFill="1" applyBorder="1" applyAlignment="1">
      <alignment horizontal="centerContinuous" vertical="center"/>
    </xf>
    <xf numFmtId="0" fontId="16" fillId="6" borderId="28" xfId="0" applyFont="1" applyFill="1" applyBorder="1" applyAlignment="1">
      <alignment horizontal="centerContinuous" vertical="center"/>
    </xf>
    <xf numFmtId="0" fontId="16" fillId="6" borderId="27" xfId="0" applyFont="1" applyFill="1" applyBorder="1" applyAlignment="1">
      <alignment horizontal="centerContinuous" vertical="center"/>
    </xf>
    <xf numFmtId="164" fontId="3" fillId="2" borderId="21" xfId="1" applyNumberFormat="1" applyFont="1" applyFill="1" applyBorder="1" applyAlignment="1">
      <alignment vertical="center"/>
    </xf>
    <xf numFmtId="164" fontId="0" fillId="2" borderId="21" xfId="1" applyNumberFormat="1" applyFont="1" applyFill="1" applyBorder="1" applyAlignment="1">
      <alignment vertical="center"/>
    </xf>
    <xf numFmtId="10" fontId="0" fillId="2" borderId="0" xfId="2" applyNumberFormat="1" applyFont="1" applyFill="1" applyBorder="1" applyAlignment="1">
      <alignment vertical="center"/>
    </xf>
    <xf numFmtId="10" fontId="0" fillId="2" borderId="9" xfId="2" applyNumberFormat="1" applyFont="1" applyFill="1" applyBorder="1" applyAlignment="1">
      <alignment vertical="center"/>
    </xf>
    <xf numFmtId="164" fontId="3" fillId="2" borderId="0" xfId="0" applyNumberFormat="1" applyFont="1" applyFill="1" applyAlignment="1">
      <alignment vertical="center"/>
    </xf>
    <xf numFmtId="164" fontId="0" fillId="2" borderId="0" xfId="1" applyNumberFormat="1" applyFont="1" applyFill="1" applyBorder="1" applyAlignment="1">
      <alignment horizontal="left" vertical="center"/>
    </xf>
    <xf numFmtId="164" fontId="7" fillId="5" borderId="29" xfId="1" applyNumberFormat="1" applyFont="1" applyFill="1" applyBorder="1" applyAlignment="1">
      <alignment vertical="center"/>
    </xf>
    <xf numFmtId="180" fontId="0" fillId="2" borderId="0" xfId="0" applyNumberFormat="1" applyFill="1" applyAlignment="1">
      <alignment vertical="center"/>
    </xf>
    <xf numFmtId="0" fontId="0" fillId="2" borderId="7" xfId="0" applyFill="1" applyBorder="1" applyAlignment="1">
      <alignment vertical="center"/>
    </xf>
    <xf numFmtId="0" fontId="17" fillId="2" borderId="6" xfId="0" applyFont="1" applyFill="1" applyBorder="1" applyAlignment="1">
      <alignment horizontal="right" vertical="center"/>
    </xf>
    <xf numFmtId="0" fontId="17" fillId="2" borderId="2" xfId="0" applyFont="1" applyFill="1" applyBorder="1" applyAlignment="1">
      <alignment horizontal="centerContinuous" vertical="center"/>
    </xf>
    <xf numFmtId="0" fontId="17" fillId="2" borderId="3" xfId="0" applyFont="1" applyFill="1" applyBorder="1" applyAlignment="1">
      <alignment horizontal="centerContinuous" vertical="center"/>
    </xf>
    <xf numFmtId="0" fontId="17" fillId="2" borderId="5" xfId="0" applyFont="1" applyFill="1" applyBorder="1" applyAlignment="1">
      <alignment horizontal="centerContinuous" vertical="center"/>
    </xf>
    <xf numFmtId="0" fontId="0" fillId="2" borderId="9" xfId="0" applyFill="1" applyBorder="1" applyAlignment="1">
      <alignment vertical="center"/>
    </xf>
    <xf numFmtId="164" fontId="0" fillId="5" borderId="30" xfId="1" applyNumberFormat="1" applyFont="1" applyFill="1" applyBorder="1" applyAlignment="1">
      <alignment vertical="center"/>
    </xf>
    <xf numFmtId="181" fontId="17" fillId="2" borderId="10" xfId="0" applyNumberFormat="1" applyFont="1" applyFill="1" applyBorder="1" applyAlignment="1">
      <alignment vertical="center"/>
    </xf>
    <xf numFmtId="182" fontId="18" fillId="2" borderId="31" xfId="0" applyNumberFormat="1" applyFont="1" applyFill="1" applyBorder="1" applyAlignment="1">
      <alignment vertical="center"/>
    </xf>
    <xf numFmtId="182" fontId="13" fillId="2" borderId="21" xfId="0" applyNumberFormat="1" applyFont="1" applyFill="1" applyBorder="1" applyAlignment="1">
      <alignment vertical="center"/>
    </xf>
    <xf numFmtId="182" fontId="13" fillId="2" borderId="32" xfId="0" applyNumberFormat="1" applyFont="1" applyFill="1" applyBorder="1" applyAlignment="1">
      <alignment vertical="center"/>
    </xf>
    <xf numFmtId="183" fontId="18" fillId="2" borderId="33" xfId="0" applyNumberFormat="1" applyFont="1" applyFill="1" applyBorder="1" applyAlignment="1">
      <alignment vertical="center"/>
    </xf>
    <xf numFmtId="181" fontId="0" fillId="7" borderId="15" xfId="0" applyNumberFormat="1" applyFill="1" applyBorder="1" applyAlignment="1">
      <alignment vertical="center"/>
    </xf>
    <xf numFmtId="181" fontId="0" fillId="7" borderId="16" xfId="0" applyNumberFormat="1" applyFill="1" applyBorder="1" applyAlignment="1">
      <alignment vertical="center"/>
    </xf>
    <xf numFmtId="181" fontId="0" fillId="7" borderId="34" xfId="0" applyNumberFormat="1" applyFill="1" applyBorder="1" applyAlignment="1">
      <alignment vertical="center"/>
    </xf>
    <xf numFmtId="164" fontId="10" fillId="2" borderId="0" xfId="1" applyNumberFormat="1" applyFont="1" applyFill="1" applyBorder="1" applyAlignment="1">
      <alignment vertical="center"/>
    </xf>
    <xf numFmtId="164" fontId="0" fillId="5" borderId="35" xfId="1" applyNumberFormat="1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17" fillId="2" borderId="7" xfId="0" applyFont="1" applyFill="1" applyBorder="1" applyAlignment="1">
      <alignment horizontal="center" vertical="center"/>
    </xf>
    <xf numFmtId="183" fontId="13" fillId="2" borderId="7" xfId="0" applyNumberFormat="1" applyFont="1" applyFill="1" applyBorder="1" applyAlignment="1">
      <alignment vertical="center"/>
    </xf>
    <xf numFmtId="181" fontId="0" fillId="7" borderId="18" xfId="0" applyNumberFormat="1" applyFill="1" applyBorder="1" applyAlignment="1">
      <alignment vertical="center"/>
    </xf>
    <xf numFmtId="181" fontId="0" fillId="3" borderId="0" xfId="0" applyNumberFormat="1" applyFill="1" applyAlignment="1">
      <alignment vertical="center"/>
    </xf>
    <xf numFmtId="181" fontId="0" fillId="7" borderId="9" xfId="0" applyNumberFormat="1" applyFill="1" applyBorder="1" applyAlignment="1">
      <alignment vertical="center"/>
    </xf>
    <xf numFmtId="181" fontId="0" fillId="8" borderId="0" xfId="0" applyNumberFormat="1" applyFill="1" applyAlignment="1">
      <alignment vertical="center"/>
    </xf>
    <xf numFmtId="164" fontId="3" fillId="2" borderId="16" xfId="1" applyNumberFormat="1" applyFont="1" applyFill="1" applyBorder="1" applyAlignment="1">
      <alignment vertical="center"/>
    </xf>
    <xf numFmtId="183" fontId="13" fillId="2" borderId="11" xfId="0" applyNumberFormat="1" applyFont="1" applyFill="1" applyBorder="1" applyAlignment="1">
      <alignment horizontal="right" vertical="center"/>
    </xf>
    <xf numFmtId="181" fontId="0" fillId="7" borderId="36" xfId="0" applyNumberFormat="1" applyFill="1" applyBorder="1" applyAlignment="1">
      <alignment vertical="center"/>
    </xf>
    <xf numFmtId="181" fontId="0" fillId="7" borderId="12" xfId="0" applyNumberFormat="1" applyFill="1" applyBorder="1" applyAlignment="1">
      <alignment vertical="center"/>
    </xf>
    <xf numFmtId="181" fontId="0" fillId="7" borderId="14" xfId="0" applyNumberFormat="1" applyFill="1" applyBorder="1" applyAlignment="1">
      <alignment vertical="center"/>
    </xf>
    <xf numFmtId="164" fontId="0" fillId="5" borderId="37" xfId="1" applyNumberFormat="1" applyFont="1" applyFill="1" applyBorder="1" applyAlignment="1">
      <alignment vertical="center"/>
    </xf>
    <xf numFmtId="0" fontId="17" fillId="2" borderId="7" xfId="0" applyFont="1" applyFill="1" applyBorder="1" applyAlignment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13" fillId="3" borderId="2" xfId="0" applyFont="1" applyFill="1" applyBorder="1" applyAlignment="1">
      <alignment vertical="center"/>
    </xf>
    <xf numFmtId="180" fontId="13" fillId="3" borderId="5" xfId="0" applyNumberFormat="1" applyFont="1" applyFill="1" applyBorder="1" applyAlignment="1">
      <alignment vertical="center"/>
    </xf>
    <xf numFmtId="0" fontId="13" fillId="3" borderId="11" xfId="0" applyFont="1" applyFill="1" applyBorder="1" applyAlignment="1">
      <alignment vertical="center"/>
    </xf>
    <xf numFmtId="180" fontId="13" fillId="3" borderId="14" xfId="0" applyNumberFormat="1" applyFont="1" applyFill="1" applyBorder="1" applyAlignment="1">
      <alignment vertical="center"/>
    </xf>
    <xf numFmtId="10" fontId="17" fillId="2" borderId="10" xfId="2" applyNumberFormat="1" applyFont="1" applyFill="1" applyBorder="1" applyAlignment="1">
      <alignment vertical="center"/>
    </xf>
    <xf numFmtId="182" fontId="17" fillId="2" borderId="31" xfId="0" applyNumberFormat="1" applyFont="1" applyFill="1" applyBorder="1" applyAlignment="1">
      <alignment vertical="center"/>
    </xf>
    <xf numFmtId="182" fontId="17" fillId="2" borderId="21" xfId="0" applyNumberFormat="1" applyFont="1" applyFill="1" applyBorder="1" applyAlignment="1">
      <alignment vertical="center"/>
    </xf>
    <xf numFmtId="182" fontId="17" fillId="2" borderId="32" xfId="0" applyNumberFormat="1" applyFont="1" applyFill="1" applyBorder="1" applyAlignment="1">
      <alignment vertical="center"/>
    </xf>
    <xf numFmtId="180" fontId="3" fillId="3" borderId="1" xfId="0" applyNumberFormat="1" applyFont="1" applyFill="1" applyBorder="1" applyAlignment="1">
      <alignment vertical="center"/>
    </xf>
    <xf numFmtId="183" fontId="17" fillId="2" borderId="7" xfId="0" applyNumberFormat="1" applyFont="1" applyFill="1" applyBorder="1" applyAlignment="1">
      <alignment vertical="center"/>
    </xf>
    <xf numFmtId="9" fontId="0" fillId="9" borderId="15" xfId="2" applyFont="1" applyFill="1" applyBorder="1" applyAlignment="1">
      <alignment vertical="center"/>
    </xf>
    <xf numFmtId="9" fontId="0" fillId="9" borderId="16" xfId="2" applyFont="1" applyFill="1" applyBorder="1" applyAlignment="1">
      <alignment vertical="center"/>
    </xf>
    <xf numFmtId="9" fontId="0" fillId="9" borderId="34" xfId="2" applyFont="1" applyFill="1" applyBorder="1" applyAlignment="1">
      <alignment vertical="center"/>
    </xf>
    <xf numFmtId="9" fontId="0" fillId="9" borderId="18" xfId="2" applyFont="1" applyFill="1" applyBorder="1" applyAlignment="1">
      <alignment vertical="center"/>
    </xf>
    <xf numFmtId="9" fontId="0" fillId="10" borderId="0" xfId="2" applyFont="1" applyFill="1" applyBorder="1" applyAlignment="1">
      <alignment vertical="center"/>
    </xf>
    <xf numFmtId="9" fontId="0" fillId="9" borderId="9" xfId="2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9" fontId="0" fillId="11" borderId="0" xfId="2" applyFont="1" applyFill="1" applyBorder="1" applyAlignment="1">
      <alignment vertical="center"/>
    </xf>
    <xf numFmtId="183" fontId="17" fillId="2" borderId="11" xfId="0" applyNumberFormat="1" applyFont="1" applyFill="1" applyBorder="1" applyAlignment="1">
      <alignment horizontal="right" vertical="center"/>
    </xf>
    <xf numFmtId="9" fontId="0" fillId="9" borderId="36" xfId="2" applyFont="1" applyFill="1" applyBorder="1" applyAlignment="1">
      <alignment vertical="center"/>
    </xf>
    <xf numFmtId="9" fontId="0" fillId="9" borderId="12" xfId="2" applyFont="1" applyFill="1" applyBorder="1" applyAlignment="1">
      <alignment vertical="center"/>
    </xf>
    <xf numFmtId="9" fontId="0" fillId="9" borderId="14" xfId="2" applyFont="1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10" fontId="2" fillId="0" borderId="0" xfId="2" applyNumberFormat="1" applyFont="1" applyAlignment="1">
      <alignment vertical="center"/>
    </xf>
    <xf numFmtId="0" fontId="0" fillId="0" borderId="38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167" fontId="11" fillId="2" borderId="39" xfId="0" applyNumberFormat="1" applyFont="1" applyFill="1" applyBorder="1" applyAlignment="1">
      <alignment vertical="center"/>
    </xf>
    <xf numFmtId="167" fontId="11" fillId="2" borderId="40" xfId="0" applyNumberFormat="1" applyFont="1" applyFill="1" applyBorder="1" applyAlignment="1">
      <alignment vertical="center"/>
    </xf>
    <xf numFmtId="164" fontId="1" fillId="2" borderId="0" xfId="1" applyNumberFormat="1" applyFont="1" applyFill="1" applyBorder="1" applyAlignment="1">
      <alignment vertical="center"/>
    </xf>
    <xf numFmtId="164" fontId="20" fillId="4" borderId="0" xfId="1" applyNumberFormat="1" applyFont="1" applyFill="1" applyBorder="1" applyAlignment="1">
      <alignment vertical="center"/>
    </xf>
    <xf numFmtId="164" fontId="2" fillId="2" borderId="0" xfId="1" applyNumberFormat="1" applyFont="1" applyFill="1" applyBorder="1" applyAlignment="1">
      <alignment vertical="center"/>
    </xf>
    <xf numFmtId="164" fontId="2" fillId="4" borderId="0" xfId="1" applyNumberFormat="1" applyFont="1" applyFill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4" fontId="2" fillId="2" borderId="21" xfId="0" applyNumberFormat="1" applyFont="1" applyFill="1" applyBorder="1" applyAlignment="1">
      <alignment vertical="center"/>
    </xf>
    <xf numFmtId="164" fontId="2" fillId="4" borderId="21" xfId="1" applyNumberFormat="1" applyFont="1" applyFill="1" applyBorder="1" applyAlignment="1">
      <alignment vertical="center"/>
    </xf>
    <xf numFmtId="164" fontId="3" fillId="2" borderId="0" xfId="1" applyNumberFormat="1" applyFont="1" applyFill="1" applyBorder="1" applyAlignment="1">
      <alignment horizontal="right" vertical="center"/>
    </xf>
    <xf numFmtId="164" fontId="2" fillId="2" borderId="0" xfId="1" applyNumberFormat="1" applyFont="1" applyFill="1" applyBorder="1" applyAlignment="1">
      <alignment horizontal="right" vertical="center"/>
    </xf>
    <xf numFmtId="10" fontId="0" fillId="0" borderId="0" xfId="2" applyNumberFormat="1" applyFont="1" applyAlignment="1">
      <alignment vertical="center"/>
    </xf>
    <xf numFmtId="0" fontId="8" fillId="0" borderId="0" xfId="0" applyFont="1" applyAlignment="1">
      <alignment vertical="center"/>
    </xf>
    <xf numFmtId="172" fontId="8" fillId="0" borderId="0" xfId="0" applyNumberFormat="1" applyFont="1" applyAlignment="1">
      <alignment vertical="center"/>
    </xf>
    <xf numFmtId="180" fontId="0" fillId="7" borderId="37" xfId="0" applyNumberFormat="1" applyFill="1" applyBorder="1" applyAlignment="1">
      <alignment vertical="center"/>
    </xf>
    <xf numFmtId="164" fontId="10" fillId="2" borderId="21" xfId="1" applyNumberFormat="1" applyFont="1" applyFill="1" applyBorder="1" applyAlignment="1">
      <alignment horizontal="right" vertical="center"/>
    </xf>
    <xf numFmtId="0" fontId="13" fillId="12" borderId="2" xfId="0" applyFont="1" applyFill="1" applyBorder="1" applyAlignment="1">
      <alignment vertical="center"/>
    </xf>
    <xf numFmtId="10" fontId="13" fillId="12" borderId="5" xfId="2" applyNumberFormat="1" applyFont="1" applyFill="1" applyBorder="1" applyAlignment="1">
      <alignment vertical="center"/>
    </xf>
    <xf numFmtId="0" fontId="11" fillId="12" borderId="7" xfId="0" applyFont="1" applyFill="1" applyBorder="1" applyAlignment="1">
      <alignment vertical="center"/>
    </xf>
    <xf numFmtId="180" fontId="11" fillId="12" borderId="9" xfId="0" applyNumberFormat="1" applyFont="1" applyFill="1" applyBorder="1" applyAlignment="1">
      <alignment vertical="center"/>
    </xf>
    <xf numFmtId="0" fontId="13" fillId="12" borderId="11" xfId="0" applyFont="1" applyFill="1" applyBorder="1" applyAlignment="1">
      <alignment vertical="center"/>
    </xf>
    <xf numFmtId="181" fontId="13" fillId="12" borderId="14" xfId="0" applyNumberFormat="1" applyFont="1" applyFill="1" applyBorder="1" applyAlignment="1">
      <alignment vertical="center"/>
    </xf>
    <xf numFmtId="10" fontId="13" fillId="2" borderId="5" xfId="2" applyNumberFormat="1" applyFont="1" applyFill="1" applyBorder="1" applyAlignment="1">
      <alignment vertical="center"/>
    </xf>
    <xf numFmtId="180" fontId="11" fillId="2" borderId="9" xfId="0" applyNumberFormat="1" applyFont="1" applyFill="1" applyBorder="1" applyAlignment="1">
      <alignment vertical="center"/>
    </xf>
    <xf numFmtId="181" fontId="13" fillId="2" borderId="14" xfId="0" applyNumberFormat="1" applyFont="1" applyFill="1" applyBorder="1" applyAlignment="1">
      <alignment vertical="center"/>
    </xf>
    <xf numFmtId="0" fontId="13" fillId="6" borderId="2" xfId="0" applyFont="1" applyFill="1" applyBorder="1" applyAlignment="1">
      <alignment vertical="center"/>
    </xf>
    <xf numFmtId="0" fontId="11" fillId="6" borderId="7" xfId="0" applyFont="1" applyFill="1" applyBorder="1" applyAlignment="1">
      <alignment vertical="center"/>
    </xf>
    <xf numFmtId="0" fontId="13" fillId="6" borderId="11" xfId="0" applyFont="1" applyFill="1" applyBorder="1" applyAlignment="1">
      <alignment vertical="center"/>
    </xf>
    <xf numFmtId="0" fontId="3" fillId="0" borderId="26" xfId="0" applyFont="1" applyBorder="1" applyAlignment="1">
      <alignment vertical="center"/>
    </xf>
    <xf numFmtId="167" fontId="3" fillId="0" borderId="27" xfId="0" applyNumberFormat="1" applyFont="1" applyBorder="1" applyAlignment="1">
      <alignment vertical="center"/>
    </xf>
    <xf numFmtId="166" fontId="7" fillId="2" borderId="0" xfId="1" applyNumberFormat="1" applyFont="1" applyFill="1" applyAlignment="1">
      <alignment vertical="center"/>
    </xf>
    <xf numFmtId="166" fontId="5" fillId="4" borderId="0" xfId="1" applyNumberFormat="1" applyFont="1" applyFill="1" applyBorder="1" applyAlignment="1">
      <alignment horizontal="center" vertical="center"/>
    </xf>
    <xf numFmtId="167" fontId="5" fillId="4" borderId="9" xfId="1" applyNumberFormat="1" applyFont="1" applyFill="1" applyBorder="1" applyAlignment="1">
      <alignment vertical="center"/>
    </xf>
    <xf numFmtId="180" fontId="21" fillId="4" borderId="21" xfId="1" applyNumberFormat="1" applyFont="1" applyFill="1" applyBorder="1" applyAlignment="1">
      <alignment vertical="center"/>
    </xf>
    <xf numFmtId="164" fontId="7" fillId="2" borderId="0" xfId="1" applyNumberFormat="1" applyFont="1" applyFill="1" applyAlignment="1">
      <alignment vertical="center"/>
    </xf>
    <xf numFmtId="184" fontId="5" fillId="4" borderId="0" xfId="0" applyNumberFormat="1" applyFont="1" applyFill="1" applyAlignment="1">
      <alignment horizontal="right" vertical="center"/>
    </xf>
    <xf numFmtId="180" fontId="22" fillId="4" borderId="0" xfId="0" applyNumberFormat="1" applyFont="1" applyFill="1" applyAlignment="1">
      <alignment vertical="center"/>
    </xf>
    <xf numFmtId="180" fontId="11" fillId="2" borderId="0" xfId="0" applyNumberFormat="1" applyFont="1" applyFill="1" applyAlignment="1">
      <alignment vertical="center"/>
    </xf>
    <xf numFmtId="164" fontId="0" fillId="0" borderId="0" xfId="0" applyNumberFormat="1" applyAlignment="1">
      <alignment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8146D-E7E4-C44D-B280-97913D997EEA}">
  <dimension ref="B1:AO72"/>
  <sheetViews>
    <sheetView showGridLines="0" tabSelected="1" zoomScale="88" workbookViewId="0">
      <selection activeCell="W41" sqref="W41"/>
    </sheetView>
  </sheetViews>
  <sheetFormatPr baseColWidth="10" defaultColWidth="10.83203125" defaultRowHeight="16" x14ac:dyDescent="0.2"/>
  <cols>
    <col min="1" max="1" width="4.5" style="1" customWidth="1"/>
    <col min="2" max="2" width="15.1640625" style="1" customWidth="1"/>
    <col min="3" max="3" width="19" style="1" customWidth="1"/>
    <col min="4" max="4" width="13" style="1" customWidth="1"/>
    <col min="5" max="5" width="18.1640625" style="1" customWidth="1"/>
    <col min="6" max="6" width="16.33203125" style="1" customWidth="1"/>
    <col min="7" max="7" width="1.33203125" style="1" customWidth="1"/>
    <col min="8" max="31" width="12.6640625" style="1" customWidth="1"/>
    <col min="32" max="41" width="10.83203125" style="2"/>
    <col min="42" max="16384" width="10.83203125" style="1"/>
  </cols>
  <sheetData>
    <row r="1" spans="2:41" ht="17" thickBot="1" x14ac:dyDescent="0.25"/>
    <row r="2" spans="2:41" ht="17" thickBot="1" x14ac:dyDescent="0.25">
      <c r="C2" s="3" t="s">
        <v>105</v>
      </c>
      <c r="G2" s="4"/>
      <c r="H2" s="203"/>
    </row>
    <row r="3" spans="2:41" s="2" customFormat="1" ht="17" thickBot="1" x14ac:dyDescent="0.25">
      <c r="C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2:41" x14ac:dyDescent="0.2">
      <c r="B4" s="2"/>
      <c r="C4" s="5" t="s">
        <v>0</v>
      </c>
      <c r="F4" s="6" t="s">
        <v>1</v>
      </c>
      <c r="G4" s="7"/>
      <c r="H4" s="8">
        <v>1</v>
      </c>
      <c r="I4" s="9">
        <f>+H4+1</f>
        <v>2</v>
      </c>
      <c r="J4" s="9">
        <v>3</v>
      </c>
      <c r="K4" s="9">
        <v>4</v>
      </c>
      <c r="L4" s="9">
        <v>5</v>
      </c>
      <c r="M4" s="9">
        <v>6</v>
      </c>
      <c r="N4" s="9">
        <v>7</v>
      </c>
      <c r="O4" s="9">
        <v>8</v>
      </c>
      <c r="P4" s="9">
        <v>9</v>
      </c>
      <c r="Q4" s="9">
        <v>10</v>
      </c>
      <c r="R4" s="9">
        <v>11</v>
      </c>
      <c r="S4" s="10">
        <v>12</v>
      </c>
      <c r="T4" s="9">
        <v>13</v>
      </c>
      <c r="U4" s="9">
        <v>14</v>
      </c>
      <c r="V4" s="9">
        <v>15</v>
      </c>
      <c r="W4" s="9">
        <v>16</v>
      </c>
      <c r="X4" s="9">
        <v>17</v>
      </c>
      <c r="Y4" s="9">
        <v>18</v>
      </c>
      <c r="Z4" s="9">
        <v>19</v>
      </c>
      <c r="AA4" s="9">
        <v>20</v>
      </c>
      <c r="AB4" s="9">
        <v>21</v>
      </c>
      <c r="AC4" s="9">
        <v>22</v>
      </c>
      <c r="AD4" s="9">
        <v>23</v>
      </c>
      <c r="AE4" s="11">
        <v>24</v>
      </c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spans="2:41" x14ac:dyDescent="0.2">
      <c r="B5" s="2"/>
      <c r="C5" s="1" t="s">
        <v>2</v>
      </c>
      <c r="D5" s="13">
        <v>4</v>
      </c>
      <c r="F5" s="14" t="s">
        <v>3</v>
      </c>
      <c r="H5" s="15">
        <v>0</v>
      </c>
      <c r="I5" s="15">
        <v>0</v>
      </c>
      <c r="J5" s="15">
        <v>0</v>
      </c>
      <c r="K5" s="16">
        <f t="shared" ref="K5" si="0">+J5+1</f>
        <v>1</v>
      </c>
      <c r="L5" s="16">
        <f t="shared" ref="L5" si="1">+K5+1</f>
        <v>2</v>
      </c>
      <c r="M5" s="16">
        <f t="shared" ref="M5:AE5" si="2">+L5+1</f>
        <v>3</v>
      </c>
      <c r="N5" s="16">
        <f t="shared" si="2"/>
        <v>4</v>
      </c>
      <c r="O5" s="16">
        <f t="shared" si="2"/>
        <v>5</v>
      </c>
      <c r="P5" s="16">
        <f t="shared" si="2"/>
        <v>6</v>
      </c>
      <c r="Q5" s="16">
        <f t="shared" si="2"/>
        <v>7</v>
      </c>
      <c r="R5" s="16">
        <f t="shared" si="2"/>
        <v>8</v>
      </c>
      <c r="S5" s="17">
        <f t="shared" si="2"/>
        <v>9</v>
      </c>
      <c r="T5" s="16">
        <f t="shared" si="2"/>
        <v>10</v>
      </c>
      <c r="U5" s="16">
        <f t="shared" si="2"/>
        <v>11</v>
      </c>
      <c r="V5" s="16">
        <f t="shared" si="2"/>
        <v>12</v>
      </c>
      <c r="W5" s="16">
        <f t="shared" si="2"/>
        <v>13</v>
      </c>
      <c r="X5" s="16">
        <f t="shared" si="2"/>
        <v>14</v>
      </c>
      <c r="Y5" s="16">
        <f t="shared" si="2"/>
        <v>15</v>
      </c>
      <c r="Z5" s="16">
        <f t="shared" si="2"/>
        <v>16</v>
      </c>
      <c r="AA5" s="16">
        <f t="shared" si="2"/>
        <v>17</v>
      </c>
      <c r="AB5" s="16">
        <f t="shared" si="2"/>
        <v>18</v>
      </c>
      <c r="AC5" s="16">
        <f t="shared" si="2"/>
        <v>19</v>
      </c>
      <c r="AD5" s="16">
        <f t="shared" si="2"/>
        <v>20</v>
      </c>
      <c r="AE5" s="18">
        <f t="shared" si="2"/>
        <v>21</v>
      </c>
      <c r="AF5" s="19"/>
      <c r="AG5" s="19"/>
      <c r="AH5" s="19"/>
      <c r="AI5" s="19"/>
      <c r="AJ5" s="19"/>
      <c r="AK5" s="19"/>
      <c r="AL5" s="19"/>
      <c r="AM5" s="19"/>
      <c r="AN5" s="19"/>
      <c r="AO5" s="19"/>
    </row>
    <row r="6" spans="2:41" x14ac:dyDescent="0.2">
      <c r="B6" s="2"/>
      <c r="C6" s="1" t="s">
        <v>4</v>
      </c>
      <c r="D6" s="20">
        <v>10</v>
      </c>
      <c r="F6" s="14" t="s">
        <v>5</v>
      </c>
      <c r="H6" s="21">
        <v>0</v>
      </c>
      <c r="I6" s="22">
        <f t="shared" ref="I6:L6" si="3">+H6</f>
        <v>0</v>
      </c>
      <c r="J6" s="22">
        <f t="shared" si="3"/>
        <v>0</v>
      </c>
      <c r="K6" s="22">
        <f t="shared" si="3"/>
        <v>0</v>
      </c>
      <c r="L6" s="22">
        <f t="shared" si="3"/>
        <v>0</v>
      </c>
      <c r="M6" s="22">
        <f t="shared" ref="M6:AE6" si="4">+L6</f>
        <v>0</v>
      </c>
      <c r="N6" s="22">
        <f t="shared" si="4"/>
        <v>0</v>
      </c>
      <c r="O6" s="22">
        <f t="shared" si="4"/>
        <v>0</v>
      </c>
      <c r="P6" s="22">
        <f t="shared" si="4"/>
        <v>0</v>
      </c>
      <c r="Q6" s="22">
        <f t="shared" si="4"/>
        <v>0</v>
      </c>
      <c r="R6" s="22">
        <f t="shared" si="4"/>
        <v>0</v>
      </c>
      <c r="S6" s="23">
        <f t="shared" si="4"/>
        <v>0</v>
      </c>
      <c r="T6" s="22">
        <f t="shared" si="4"/>
        <v>0</v>
      </c>
      <c r="U6" s="22">
        <f t="shared" si="4"/>
        <v>0</v>
      </c>
      <c r="V6" s="22">
        <f t="shared" si="4"/>
        <v>0</v>
      </c>
      <c r="W6" s="22">
        <f t="shared" si="4"/>
        <v>0</v>
      </c>
      <c r="X6" s="22">
        <f t="shared" si="4"/>
        <v>0</v>
      </c>
      <c r="Y6" s="22">
        <f t="shared" si="4"/>
        <v>0</v>
      </c>
      <c r="Z6" s="22">
        <f t="shared" si="4"/>
        <v>0</v>
      </c>
      <c r="AA6" s="22">
        <f t="shared" si="4"/>
        <v>0</v>
      </c>
      <c r="AB6" s="22">
        <f t="shared" si="4"/>
        <v>0</v>
      </c>
      <c r="AC6" s="22">
        <f t="shared" si="4"/>
        <v>0</v>
      </c>
      <c r="AD6" s="22">
        <f t="shared" si="4"/>
        <v>0</v>
      </c>
      <c r="AE6" s="24">
        <f t="shared" si="4"/>
        <v>0</v>
      </c>
      <c r="AF6" s="25"/>
      <c r="AG6" s="25"/>
      <c r="AH6" s="25"/>
      <c r="AI6" s="25"/>
      <c r="AJ6" s="25"/>
      <c r="AK6" s="25"/>
      <c r="AL6" s="25"/>
      <c r="AM6" s="25"/>
      <c r="AN6" s="25"/>
      <c r="AO6" s="25"/>
    </row>
    <row r="7" spans="2:41" ht="17" thickBot="1" x14ac:dyDescent="0.25">
      <c r="B7" s="227">
        <v>0.14299999999999999</v>
      </c>
      <c r="C7" s="1" t="s">
        <v>6</v>
      </c>
      <c r="D7" s="26">
        <v>734</v>
      </c>
      <c r="F7" s="27" t="s">
        <v>7</v>
      </c>
      <c r="G7" s="28"/>
      <c r="H7" s="29">
        <v>45504</v>
      </c>
      <c r="I7" s="30">
        <f>+EOMONTH(H7,1)</f>
        <v>45535</v>
      </c>
      <c r="J7" s="30">
        <f t="shared" ref="J7:L7" si="5">+EOMONTH(I7,1)</f>
        <v>45565</v>
      </c>
      <c r="K7" s="30">
        <f t="shared" si="5"/>
        <v>45596</v>
      </c>
      <c r="L7" s="30">
        <f t="shared" si="5"/>
        <v>45626</v>
      </c>
      <c r="M7" s="30">
        <f t="shared" ref="M7:AE7" si="6">+EOMONTH(L7,1)</f>
        <v>45657</v>
      </c>
      <c r="N7" s="30">
        <f t="shared" si="6"/>
        <v>45688</v>
      </c>
      <c r="O7" s="30">
        <f t="shared" si="6"/>
        <v>45716</v>
      </c>
      <c r="P7" s="30">
        <f t="shared" si="6"/>
        <v>45747</v>
      </c>
      <c r="Q7" s="30">
        <f t="shared" si="6"/>
        <v>45777</v>
      </c>
      <c r="R7" s="30">
        <f t="shared" si="6"/>
        <v>45808</v>
      </c>
      <c r="S7" s="30">
        <f t="shared" si="6"/>
        <v>45838</v>
      </c>
      <c r="T7" s="31">
        <f t="shared" si="6"/>
        <v>45869</v>
      </c>
      <c r="U7" s="30">
        <f t="shared" si="6"/>
        <v>45900</v>
      </c>
      <c r="V7" s="30">
        <f t="shared" si="6"/>
        <v>45930</v>
      </c>
      <c r="W7" s="30">
        <f t="shared" si="6"/>
        <v>45961</v>
      </c>
      <c r="X7" s="30">
        <f t="shared" si="6"/>
        <v>45991</v>
      </c>
      <c r="Y7" s="30">
        <f t="shared" si="6"/>
        <v>46022</v>
      </c>
      <c r="Z7" s="30">
        <f t="shared" si="6"/>
        <v>46053</v>
      </c>
      <c r="AA7" s="30">
        <f t="shared" si="6"/>
        <v>46081</v>
      </c>
      <c r="AB7" s="30">
        <f t="shared" si="6"/>
        <v>46112</v>
      </c>
      <c r="AC7" s="30">
        <f t="shared" si="6"/>
        <v>46142</v>
      </c>
      <c r="AD7" s="30">
        <f t="shared" si="6"/>
        <v>46173</v>
      </c>
      <c r="AE7" s="32">
        <f t="shared" si="6"/>
        <v>46203</v>
      </c>
      <c r="AF7" s="25"/>
      <c r="AG7" s="25"/>
      <c r="AH7" s="25"/>
      <c r="AI7" s="25"/>
      <c r="AJ7" s="25"/>
      <c r="AK7" s="25"/>
      <c r="AL7" s="25"/>
      <c r="AM7" s="25"/>
      <c r="AN7" s="25"/>
      <c r="AO7" s="25"/>
    </row>
    <row r="8" spans="2:41" ht="17" thickBot="1" x14ac:dyDescent="0.25">
      <c r="B8" s="33">
        <f>+D8/D7</f>
        <v>9536.7847411444145</v>
      </c>
      <c r="C8" s="1" t="s">
        <v>8</v>
      </c>
      <c r="D8" s="35">
        <v>7000000</v>
      </c>
      <c r="AF8" s="25"/>
      <c r="AG8" s="25"/>
      <c r="AH8" s="25"/>
      <c r="AI8" s="25"/>
      <c r="AJ8" s="25"/>
      <c r="AK8" s="25"/>
      <c r="AL8" s="25"/>
      <c r="AM8" s="25"/>
      <c r="AN8" s="25"/>
      <c r="AO8" s="25"/>
    </row>
    <row r="9" spans="2:41" x14ac:dyDescent="0.2">
      <c r="B9" s="34">
        <v>0.21</v>
      </c>
      <c r="C9" s="1" t="s">
        <v>9</v>
      </c>
      <c r="D9" s="226">
        <f>+D7*1350*(1+B9)</f>
        <v>1198989</v>
      </c>
      <c r="E9" s="230">
        <f>(D9/121)*100</f>
        <v>990900</v>
      </c>
      <c r="F9" s="36" t="s">
        <v>10</v>
      </c>
      <c r="G9" s="37"/>
      <c r="H9" s="38">
        <f>+H7</f>
        <v>45504</v>
      </c>
      <c r="I9" s="38">
        <f t="shared" ref="I9:L9" si="7">+I7</f>
        <v>45535</v>
      </c>
      <c r="J9" s="38">
        <f t="shared" si="7"/>
        <v>45565</v>
      </c>
      <c r="K9" s="38">
        <f t="shared" si="7"/>
        <v>45596</v>
      </c>
      <c r="L9" s="38">
        <f t="shared" si="7"/>
        <v>45626</v>
      </c>
      <c r="M9" s="38">
        <f t="shared" ref="M9:AE9" si="8">+M7</f>
        <v>45657</v>
      </c>
      <c r="N9" s="38">
        <f t="shared" si="8"/>
        <v>45688</v>
      </c>
      <c r="O9" s="38">
        <f t="shared" si="8"/>
        <v>45716</v>
      </c>
      <c r="P9" s="38">
        <f t="shared" si="8"/>
        <v>45747</v>
      </c>
      <c r="Q9" s="38">
        <f t="shared" si="8"/>
        <v>45777</v>
      </c>
      <c r="R9" s="38">
        <f t="shared" si="8"/>
        <v>45808</v>
      </c>
      <c r="S9" s="39">
        <f t="shared" si="8"/>
        <v>45838</v>
      </c>
      <c r="T9" s="38">
        <f t="shared" si="8"/>
        <v>45869</v>
      </c>
      <c r="U9" s="38">
        <f t="shared" si="8"/>
        <v>45900</v>
      </c>
      <c r="V9" s="38">
        <f t="shared" si="8"/>
        <v>45930</v>
      </c>
      <c r="W9" s="38">
        <f t="shared" si="8"/>
        <v>45961</v>
      </c>
      <c r="X9" s="38">
        <f t="shared" si="8"/>
        <v>45991</v>
      </c>
      <c r="Y9" s="38">
        <f t="shared" si="8"/>
        <v>46022</v>
      </c>
      <c r="Z9" s="38">
        <f t="shared" si="8"/>
        <v>46053</v>
      </c>
      <c r="AA9" s="38">
        <f t="shared" si="8"/>
        <v>46081</v>
      </c>
      <c r="AB9" s="38">
        <f t="shared" si="8"/>
        <v>46112</v>
      </c>
      <c r="AC9" s="38">
        <f t="shared" si="8"/>
        <v>46142</v>
      </c>
      <c r="AD9" s="38">
        <f t="shared" si="8"/>
        <v>46173</v>
      </c>
      <c r="AE9" s="40">
        <f t="shared" si="8"/>
        <v>46203</v>
      </c>
      <c r="AF9" s="25"/>
      <c r="AG9" s="25"/>
      <c r="AH9" s="25"/>
      <c r="AI9" s="25"/>
      <c r="AJ9" s="25"/>
      <c r="AK9" s="25"/>
      <c r="AL9" s="25"/>
      <c r="AM9" s="25"/>
      <c r="AN9" s="25"/>
      <c r="AO9" s="25"/>
    </row>
    <row r="10" spans="2:41" x14ac:dyDescent="0.2">
      <c r="B10" s="48">
        <v>0.02</v>
      </c>
      <c r="C10" s="1" t="s">
        <v>103</v>
      </c>
      <c r="D10" s="41">
        <f>+B10*D8</f>
        <v>140000</v>
      </c>
      <c r="E10" s="42"/>
      <c r="F10" s="14" t="s">
        <v>11</v>
      </c>
      <c r="H10" s="43">
        <v>0</v>
      </c>
      <c r="I10" s="43">
        <v>0</v>
      </c>
      <c r="J10" s="43">
        <v>0</v>
      </c>
      <c r="K10" s="43">
        <v>-600</v>
      </c>
      <c r="L10" s="44">
        <f t="shared" ref="L10:AE10" si="9">+K10</f>
        <v>-600</v>
      </c>
      <c r="M10" s="44">
        <f t="shared" si="9"/>
        <v>-600</v>
      </c>
      <c r="N10" s="44">
        <f t="shared" si="9"/>
        <v>-600</v>
      </c>
      <c r="O10" s="44">
        <f t="shared" si="9"/>
        <v>-600</v>
      </c>
      <c r="P10" s="44">
        <f t="shared" si="9"/>
        <v>-600</v>
      </c>
      <c r="Q10" s="44">
        <f t="shared" si="9"/>
        <v>-600</v>
      </c>
      <c r="R10" s="44">
        <f t="shared" si="9"/>
        <v>-600</v>
      </c>
      <c r="S10" s="45">
        <f t="shared" si="9"/>
        <v>-600</v>
      </c>
      <c r="T10" s="44">
        <f t="shared" si="9"/>
        <v>-600</v>
      </c>
      <c r="U10" s="44">
        <f t="shared" si="9"/>
        <v>-600</v>
      </c>
      <c r="V10" s="44">
        <f t="shared" si="9"/>
        <v>-600</v>
      </c>
      <c r="W10" s="44">
        <f t="shared" si="9"/>
        <v>-600</v>
      </c>
      <c r="X10" s="44">
        <f t="shared" si="9"/>
        <v>-600</v>
      </c>
      <c r="Y10" s="44">
        <f t="shared" si="9"/>
        <v>-600</v>
      </c>
      <c r="Z10" s="44">
        <f t="shared" si="9"/>
        <v>-600</v>
      </c>
      <c r="AA10" s="44">
        <f t="shared" si="9"/>
        <v>-600</v>
      </c>
      <c r="AB10" s="44">
        <f t="shared" si="9"/>
        <v>-600</v>
      </c>
      <c r="AC10" s="44">
        <f t="shared" si="9"/>
        <v>-600</v>
      </c>
      <c r="AD10" s="44">
        <f t="shared" si="9"/>
        <v>-600</v>
      </c>
      <c r="AE10" s="46">
        <f t="shared" si="9"/>
        <v>-600</v>
      </c>
      <c r="AF10" s="47"/>
      <c r="AG10" s="47"/>
      <c r="AH10" s="47"/>
      <c r="AI10" s="47"/>
      <c r="AJ10" s="47"/>
      <c r="AK10" s="47"/>
      <c r="AL10" s="47"/>
      <c r="AM10" s="47"/>
      <c r="AN10" s="47"/>
      <c r="AO10" s="47"/>
    </row>
    <row r="11" spans="2:41" x14ac:dyDescent="0.2">
      <c r="B11" s="48">
        <v>0</v>
      </c>
      <c r="C11" s="1" t="s">
        <v>12</v>
      </c>
      <c r="D11" s="49">
        <v>1500</v>
      </c>
      <c r="F11" s="14" t="s">
        <v>13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0</v>
      </c>
      <c r="R11" s="43">
        <v>0</v>
      </c>
      <c r="S11" s="43">
        <v>-6000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 s="43">
        <v>0</v>
      </c>
      <c r="AA11" s="43">
        <v>0</v>
      </c>
      <c r="AB11" s="43">
        <v>0</v>
      </c>
      <c r="AC11" s="43">
        <v>0</v>
      </c>
      <c r="AD11" s="43">
        <v>-1000</v>
      </c>
      <c r="AE11" s="224">
        <v>0</v>
      </c>
      <c r="AF11" s="50"/>
      <c r="AG11" s="50"/>
      <c r="AH11" s="50"/>
      <c r="AI11" s="50"/>
      <c r="AJ11" s="50"/>
      <c r="AK11" s="50"/>
      <c r="AL11" s="50"/>
      <c r="AM11" s="50"/>
      <c r="AN11" s="50"/>
      <c r="AO11" s="50"/>
    </row>
    <row r="12" spans="2:41" x14ac:dyDescent="0.2">
      <c r="B12" s="48">
        <v>5.0000000000000001E-3</v>
      </c>
      <c r="C12" s="1" t="s">
        <v>14</v>
      </c>
      <c r="D12" s="41">
        <f>+B12*D8</f>
        <v>35000</v>
      </c>
      <c r="F12" s="14" t="s">
        <v>15</v>
      </c>
      <c r="H12" s="43">
        <v>0</v>
      </c>
      <c r="I12" s="43">
        <v>0</v>
      </c>
      <c r="J12" s="43">
        <v>0</v>
      </c>
      <c r="K12" s="43">
        <v>-1200</v>
      </c>
      <c r="L12" s="44">
        <f t="shared" ref="L12:AE13" si="10">+K12</f>
        <v>-1200</v>
      </c>
      <c r="M12" s="44">
        <f t="shared" si="10"/>
        <v>-1200</v>
      </c>
      <c r="N12" s="44">
        <f t="shared" si="10"/>
        <v>-1200</v>
      </c>
      <c r="O12" s="44">
        <f t="shared" si="10"/>
        <v>-1200</v>
      </c>
      <c r="P12" s="44">
        <f t="shared" si="10"/>
        <v>-1200</v>
      </c>
      <c r="Q12" s="44">
        <f t="shared" si="10"/>
        <v>-1200</v>
      </c>
      <c r="R12" s="44">
        <f t="shared" si="10"/>
        <v>-1200</v>
      </c>
      <c r="S12" s="45">
        <f t="shared" si="10"/>
        <v>-1200</v>
      </c>
      <c r="T12" s="44">
        <f t="shared" si="10"/>
        <v>-1200</v>
      </c>
      <c r="U12" s="44">
        <f t="shared" si="10"/>
        <v>-1200</v>
      </c>
      <c r="V12" s="44">
        <f t="shared" si="10"/>
        <v>-1200</v>
      </c>
      <c r="W12" s="44">
        <f t="shared" si="10"/>
        <v>-1200</v>
      </c>
      <c r="X12" s="44">
        <f t="shared" si="10"/>
        <v>-1200</v>
      </c>
      <c r="Y12" s="44">
        <f t="shared" si="10"/>
        <v>-1200</v>
      </c>
      <c r="Z12" s="44">
        <f t="shared" si="10"/>
        <v>-1200</v>
      </c>
      <c r="AA12" s="44">
        <f t="shared" si="10"/>
        <v>-1200</v>
      </c>
      <c r="AB12" s="44">
        <f t="shared" si="10"/>
        <v>-1200</v>
      </c>
      <c r="AC12" s="44">
        <f t="shared" si="10"/>
        <v>-1200</v>
      </c>
      <c r="AD12" s="44">
        <f t="shared" si="10"/>
        <v>-1200</v>
      </c>
      <c r="AE12" s="46">
        <f t="shared" si="10"/>
        <v>-1200</v>
      </c>
      <c r="AF12" s="51"/>
      <c r="AG12" s="51"/>
      <c r="AH12" s="51"/>
      <c r="AI12" s="51"/>
      <c r="AJ12" s="51"/>
      <c r="AK12" s="51"/>
      <c r="AL12" s="51"/>
      <c r="AM12" s="51"/>
      <c r="AN12" s="51"/>
      <c r="AO12" s="51"/>
    </row>
    <row r="13" spans="2:41" ht="17" thickBot="1" x14ac:dyDescent="0.25">
      <c r="B13" s="48">
        <v>1.7999999999999999E-2</v>
      </c>
      <c r="C13" s="1" t="s">
        <v>16</v>
      </c>
      <c r="D13" s="41">
        <f>+B13*SUM(D19:D20)</f>
        <v>90000</v>
      </c>
      <c r="F13" s="14" t="s">
        <v>17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4">
        <f t="shared" si="10"/>
        <v>0</v>
      </c>
      <c r="U13" s="44">
        <f t="shared" si="10"/>
        <v>0</v>
      </c>
      <c r="V13" s="44">
        <f t="shared" si="10"/>
        <v>0</v>
      </c>
      <c r="W13" s="44">
        <f t="shared" si="10"/>
        <v>0</v>
      </c>
      <c r="X13" s="44">
        <f t="shared" si="10"/>
        <v>0</v>
      </c>
      <c r="Y13" s="44">
        <f t="shared" si="10"/>
        <v>0</v>
      </c>
      <c r="Z13" s="44">
        <f t="shared" si="10"/>
        <v>0</v>
      </c>
      <c r="AA13" s="44">
        <f t="shared" si="10"/>
        <v>0</v>
      </c>
      <c r="AB13" s="44">
        <f t="shared" si="10"/>
        <v>0</v>
      </c>
      <c r="AC13" s="44">
        <f t="shared" si="10"/>
        <v>0</v>
      </c>
      <c r="AD13" s="44">
        <f t="shared" si="10"/>
        <v>0</v>
      </c>
      <c r="AE13" s="52">
        <f t="shared" si="10"/>
        <v>0</v>
      </c>
      <c r="AF13" s="53"/>
      <c r="AG13" s="53"/>
      <c r="AH13" s="53"/>
      <c r="AI13" s="53"/>
      <c r="AJ13" s="53"/>
      <c r="AK13" s="53"/>
      <c r="AL13" s="53"/>
      <c r="AM13" s="53"/>
      <c r="AN13" s="53"/>
      <c r="AO13" s="53"/>
    </row>
    <row r="14" spans="2:41" x14ac:dyDescent="0.2">
      <c r="B14" s="54"/>
      <c r="C14" s="1" t="s">
        <v>18</v>
      </c>
      <c r="D14" s="49">
        <f>12000*1.21</f>
        <v>14520</v>
      </c>
      <c r="F14" s="55"/>
      <c r="G14" s="55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7"/>
      <c r="AG14" s="57"/>
      <c r="AH14" s="57"/>
      <c r="AI14" s="57"/>
      <c r="AJ14" s="57"/>
      <c r="AK14" s="57"/>
      <c r="AL14" s="57"/>
      <c r="AM14" s="57"/>
      <c r="AN14" s="57"/>
      <c r="AO14" s="57"/>
    </row>
    <row r="15" spans="2:41" ht="17" thickBot="1" x14ac:dyDescent="0.25">
      <c r="B15" s="54"/>
      <c r="C15" s="1" t="s">
        <v>102</v>
      </c>
      <c r="D15" s="49">
        <f>15000</f>
        <v>15000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spans="2:41" ht="17" thickBot="1" x14ac:dyDescent="0.25">
      <c r="B16" s="60">
        <v>2</v>
      </c>
      <c r="C16" s="1" t="s">
        <v>19</v>
      </c>
      <c r="D16" s="61">
        <f>B16*12</f>
        <v>24</v>
      </c>
      <c r="F16" s="36" t="s">
        <v>20</v>
      </c>
      <c r="G16" s="37"/>
      <c r="H16" s="38">
        <f>+H7</f>
        <v>45504</v>
      </c>
      <c r="I16" s="38">
        <f t="shared" ref="I16:AE16" si="11">+I9</f>
        <v>45535</v>
      </c>
      <c r="J16" s="38">
        <f t="shared" si="11"/>
        <v>45565</v>
      </c>
      <c r="K16" s="38">
        <f t="shared" si="11"/>
        <v>45596</v>
      </c>
      <c r="L16" s="38">
        <f t="shared" si="11"/>
        <v>45626</v>
      </c>
      <c r="M16" s="38">
        <f t="shared" si="11"/>
        <v>45657</v>
      </c>
      <c r="N16" s="38">
        <f t="shared" si="11"/>
        <v>45688</v>
      </c>
      <c r="O16" s="38">
        <f t="shared" si="11"/>
        <v>45716</v>
      </c>
      <c r="P16" s="38">
        <f t="shared" si="11"/>
        <v>45747</v>
      </c>
      <c r="Q16" s="38">
        <f t="shared" si="11"/>
        <v>45777</v>
      </c>
      <c r="R16" s="38">
        <f t="shared" si="11"/>
        <v>45808</v>
      </c>
      <c r="S16" s="39">
        <f t="shared" si="11"/>
        <v>45838</v>
      </c>
      <c r="T16" s="38">
        <f t="shared" si="11"/>
        <v>45869</v>
      </c>
      <c r="U16" s="38">
        <f t="shared" si="11"/>
        <v>45900</v>
      </c>
      <c r="V16" s="38">
        <f t="shared" si="11"/>
        <v>45930</v>
      </c>
      <c r="W16" s="38">
        <f t="shared" si="11"/>
        <v>45961</v>
      </c>
      <c r="X16" s="38">
        <f t="shared" si="11"/>
        <v>45991</v>
      </c>
      <c r="Y16" s="38">
        <f t="shared" si="11"/>
        <v>46022</v>
      </c>
      <c r="Z16" s="38">
        <f t="shared" si="11"/>
        <v>46053</v>
      </c>
      <c r="AA16" s="38">
        <f t="shared" si="11"/>
        <v>46081</v>
      </c>
      <c r="AB16" s="38">
        <f t="shared" si="11"/>
        <v>46112</v>
      </c>
      <c r="AC16" s="38">
        <f t="shared" si="11"/>
        <v>46142</v>
      </c>
      <c r="AD16" s="38">
        <f t="shared" si="11"/>
        <v>46173</v>
      </c>
      <c r="AE16" s="40">
        <f t="shared" si="11"/>
        <v>46203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 spans="2:41" x14ac:dyDescent="0.2">
      <c r="B17" s="62">
        <v>6.7000000000000004E-2</v>
      </c>
      <c r="C17" s="1" t="s">
        <v>21</v>
      </c>
      <c r="D17" s="63">
        <f>B17/12</f>
        <v>5.5833333333333334E-3</v>
      </c>
      <c r="F17" s="64" t="s">
        <v>22</v>
      </c>
      <c r="G17" s="65"/>
      <c r="H17" s="66">
        <f>IF(H4=1,-$D$8*B7,IF($D$5=H4,-$D$8*(1-$B$7),0))</f>
        <v>-1000999.9999999999</v>
      </c>
      <c r="I17" s="66">
        <f t="shared" ref="I17:AE17" si="12">IF(I4=1,-$D$8*C7,IF($D$5=I4,-$D$8*(1-$B$7),0))</f>
        <v>0</v>
      </c>
      <c r="J17" s="66">
        <f t="shared" si="12"/>
        <v>0</v>
      </c>
      <c r="K17" s="66">
        <f t="shared" si="12"/>
        <v>-5999000</v>
      </c>
      <c r="L17" s="66">
        <f t="shared" si="12"/>
        <v>0</v>
      </c>
      <c r="M17" s="66">
        <f t="shared" si="12"/>
        <v>0</v>
      </c>
      <c r="N17" s="66">
        <f t="shared" si="12"/>
        <v>0</v>
      </c>
      <c r="O17" s="66">
        <f t="shared" si="12"/>
        <v>0</v>
      </c>
      <c r="P17" s="66">
        <f t="shared" si="12"/>
        <v>0</v>
      </c>
      <c r="Q17" s="66">
        <f t="shared" si="12"/>
        <v>0</v>
      </c>
      <c r="R17" s="66">
        <f t="shared" si="12"/>
        <v>0</v>
      </c>
      <c r="S17" s="67">
        <f t="shared" si="12"/>
        <v>0</v>
      </c>
      <c r="T17" s="66">
        <f t="shared" si="12"/>
        <v>0</v>
      </c>
      <c r="U17" s="66">
        <f t="shared" si="12"/>
        <v>0</v>
      </c>
      <c r="V17" s="66">
        <f t="shared" si="12"/>
        <v>0</v>
      </c>
      <c r="W17" s="66">
        <f t="shared" si="12"/>
        <v>0</v>
      </c>
      <c r="X17" s="66">
        <f t="shared" si="12"/>
        <v>0</v>
      </c>
      <c r="Y17" s="66">
        <f t="shared" si="12"/>
        <v>0</v>
      </c>
      <c r="Z17" s="66">
        <f t="shared" si="12"/>
        <v>0</v>
      </c>
      <c r="AA17" s="66">
        <f t="shared" si="12"/>
        <v>0</v>
      </c>
      <c r="AB17" s="66">
        <f t="shared" si="12"/>
        <v>0</v>
      </c>
      <c r="AC17" s="66">
        <f t="shared" si="12"/>
        <v>0</v>
      </c>
      <c r="AD17" s="66">
        <f t="shared" si="12"/>
        <v>0</v>
      </c>
      <c r="AE17" s="68">
        <f t="shared" si="12"/>
        <v>0</v>
      </c>
      <c r="AF17" s="69"/>
      <c r="AG17" s="69"/>
      <c r="AH17" s="69"/>
      <c r="AI17" s="69"/>
      <c r="AJ17" s="69"/>
      <c r="AK17" s="69"/>
      <c r="AL17" s="69"/>
      <c r="AM17" s="69"/>
      <c r="AN17" s="69"/>
      <c r="AO17" s="69"/>
    </row>
    <row r="18" spans="2:41" x14ac:dyDescent="0.2">
      <c r="B18" s="94">
        <v>7000000</v>
      </c>
      <c r="C18" s="1" t="s">
        <v>23</v>
      </c>
      <c r="D18" s="70">
        <f>IF(B18&gt;=D8,(D19+D20)/(D8+D9),(D19+D20)/(B18+D9))</f>
        <v>0.60983128529627251</v>
      </c>
      <c r="F18" s="71" t="s">
        <v>24</v>
      </c>
      <c r="G18" s="72"/>
      <c r="H18" s="69">
        <f>IF($D$5=H4,-SUM($D$10:$D$12,$D$14:$D$15),0)+IF($B$19=H4,-$D$13,0)+IF($B$23=H4,-$D$25,0)</f>
        <v>0</v>
      </c>
      <c r="I18" s="69">
        <f t="shared" ref="I18:AE18" si="13">IF($D$5=I4,-SUM($D$10:$D$12,$D$14:$D$15),0)+IF($B$19=I4,-$D$13,0)+IF($B$23=I4,-$D$25,0)</f>
        <v>0</v>
      </c>
      <c r="J18" s="69">
        <f t="shared" si="13"/>
        <v>0</v>
      </c>
      <c r="K18" s="69">
        <f t="shared" si="13"/>
        <v>-296020</v>
      </c>
      <c r="L18" s="69">
        <f t="shared" si="13"/>
        <v>0</v>
      </c>
      <c r="M18" s="69">
        <f t="shared" si="13"/>
        <v>0</v>
      </c>
      <c r="N18" s="69">
        <f t="shared" si="13"/>
        <v>0</v>
      </c>
      <c r="O18" s="69">
        <f t="shared" si="13"/>
        <v>0</v>
      </c>
      <c r="P18" s="69">
        <f t="shared" si="13"/>
        <v>0</v>
      </c>
      <c r="Q18" s="69">
        <f t="shared" si="13"/>
        <v>0</v>
      </c>
      <c r="R18" s="69">
        <f t="shared" si="13"/>
        <v>0</v>
      </c>
      <c r="S18" s="73">
        <f t="shared" si="13"/>
        <v>0</v>
      </c>
      <c r="T18" s="69">
        <f t="shared" si="13"/>
        <v>0</v>
      </c>
      <c r="U18" s="69">
        <f t="shared" si="13"/>
        <v>0</v>
      </c>
      <c r="V18" s="69">
        <f t="shared" si="13"/>
        <v>0</v>
      </c>
      <c r="W18" s="69">
        <f t="shared" si="13"/>
        <v>0</v>
      </c>
      <c r="X18" s="69">
        <f t="shared" si="13"/>
        <v>0</v>
      </c>
      <c r="Y18" s="69">
        <f t="shared" si="13"/>
        <v>0</v>
      </c>
      <c r="Z18" s="69">
        <f t="shared" si="13"/>
        <v>0</v>
      </c>
      <c r="AA18" s="69">
        <f t="shared" si="13"/>
        <v>0</v>
      </c>
      <c r="AB18" s="69">
        <f t="shared" si="13"/>
        <v>0</v>
      </c>
      <c r="AC18" s="69">
        <f t="shared" si="13"/>
        <v>0</v>
      </c>
      <c r="AD18" s="69">
        <f t="shared" si="13"/>
        <v>0</v>
      </c>
      <c r="AE18" s="74">
        <f t="shared" si="13"/>
        <v>0</v>
      </c>
      <c r="AF18" s="69"/>
      <c r="AG18" s="69"/>
      <c r="AH18" s="69"/>
      <c r="AI18" s="69"/>
      <c r="AJ18" s="69"/>
      <c r="AK18" s="69"/>
      <c r="AL18" s="69"/>
      <c r="AM18" s="69"/>
      <c r="AN18" s="69"/>
      <c r="AO18" s="69"/>
    </row>
    <row r="19" spans="2:41" x14ac:dyDescent="0.2">
      <c r="B19" s="222">
        <f>+D5</f>
        <v>4</v>
      </c>
      <c r="C19" s="1" t="s">
        <v>25</v>
      </c>
      <c r="D19" s="75">
        <v>4000000</v>
      </c>
      <c r="F19" s="71" t="s">
        <v>26</v>
      </c>
      <c r="G19" s="72"/>
      <c r="H19" s="69">
        <f>IF(H5&lt;&gt;0,IF(H5&lt;=$D$6,-$D$9/$D$6,0),0)</f>
        <v>0</v>
      </c>
      <c r="I19" s="69">
        <f t="shared" ref="I19:AE19" si="14">IF(I5&lt;&gt;0,IF(I5&lt;=$D$6,-$D$9/$D$6,0),0)</f>
        <v>0</v>
      </c>
      <c r="J19" s="69">
        <f t="shared" si="14"/>
        <v>0</v>
      </c>
      <c r="K19" s="69">
        <f t="shared" si="14"/>
        <v>-119898.9</v>
      </c>
      <c r="L19" s="69">
        <f t="shared" si="14"/>
        <v>-119898.9</v>
      </c>
      <c r="M19" s="69">
        <f t="shared" si="14"/>
        <v>-119898.9</v>
      </c>
      <c r="N19" s="69">
        <f t="shared" si="14"/>
        <v>-119898.9</v>
      </c>
      <c r="O19" s="69">
        <f t="shared" si="14"/>
        <v>-119898.9</v>
      </c>
      <c r="P19" s="69">
        <f t="shared" si="14"/>
        <v>-119898.9</v>
      </c>
      <c r="Q19" s="69">
        <f t="shared" si="14"/>
        <v>-119898.9</v>
      </c>
      <c r="R19" s="69">
        <f t="shared" si="14"/>
        <v>-119898.9</v>
      </c>
      <c r="S19" s="73">
        <f t="shared" si="14"/>
        <v>-119898.9</v>
      </c>
      <c r="T19" s="69">
        <f t="shared" si="14"/>
        <v>-119898.9</v>
      </c>
      <c r="U19" s="69">
        <f t="shared" si="14"/>
        <v>0</v>
      </c>
      <c r="V19" s="69">
        <f t="shared" si="14"/>
        <v>0</v>
      </c>
      <c r="W19" s="69">
        <f t="shared" si="14"/>
        <v>0</v>
      </c>
      <c r="X19" s="69">
        <f t="shared" si="14"/>
        <v>0</v>
      </c>
      <c r="Y19" s="69">
        <f t="shared" si="14"/>
        <v>0</v>
      </c>
      <c r="Z19" s="69">
        <f t="shared" si="14"/>
        <v>0</v>
      </c>
      <c r="AA19" s="69">
        <f t="shared" si="14"/>
        <v>0</v>
      </c>
      <c r="AB19" s="69">
        <f t="shared" si="14"/>
        <v>0</v>
      </c>
      <c r="AC19" s="69">
        <f t="shared" si="14"/>
        <v>0</v>
      </c>
      <c r="AD19" s="69">
        <f t="shared" si="14"/>
        <v>0</v>
      </c>
      <c r="AE19" s="74">
        <f t="shared" si="14"/>
        <v>0</v>
      </c>
      <c r="AF19" s="69"/>
      <c r="AG19" s="69"/>
      <c r="AH19" s="69"/>
      <c r="AI19" s="69"/>
      <c r="AJ19" s="69"/>
      <c r="AK19" s="69"/>
      <c r="AL19" s="69"/>
      <c r="AM19" s="69"/>
      <c r="AN19" s="69"/>
      <c r="AO19" s="69"/>
    </row>
    <row r="20" spans="2:41" x14ac:dyDescent="0.2">
      <c r="C20" s="1" t="s">
        <v>27</v>
      </c>
      <c r="D20" s="75">
        <v>1000000</v>
      </c>
      <c r="F20" s="71" t="s">
        <v>83</v>
      </c>
      <c r="H20" s="69">
        <f t="shared" ref="H20:AE20" si="15">+IF($B$23=H4,$D$23,0)</f>
        <v>1000999.9999999999</v>
      </c>
      <c r="I20" s="69">
        <f t="shared" si="15"/>
        <v>0</v>
      </c>
      <c r="J20" s="69">
        <f t="shared" si="15"/>
        <v>0</v>
      </c>
      <c r="K20" s="69">
        <f t="shared" si="15"/>
        <v>0</v>
      </c>
      <c r="L20" s="69">
        <f t="shared" si="15"/>
        <v>0</v>
      </c>
      <c r="M20" s="69">
        <f t="shared" si="15"/>
        <v>0</v>
      </c>
      <c r="N20" s="69">
        <f t="shared" si="15"/>
        <v>0</v>
      </c>
      <c r="O20" s="69">
        <f t="shared" si="15"/>
        <v>0</v>
      </c>
      <c r="P20" s="69">
        <f t="shared" si="15"/>
        <v>0</v>
      </c>
      <c r="Q20" s="69">
        <f t="shared" si="15"/>
        <v>0</v>
      </c>
      <c r="R20" s="69">
        <f t="shared" si="15"/>
        <v>0</v>
      </c>
      <c r="S20" s="73">
        <f t="shared" si="15"/>
        <v>0</v>
      </c>
      <c r="T20" s="69">
        <f t="shared" si="15"/>
        <v>0</v>
      </c>
      <c r="U20" s="69">
        <f t="shared" si="15"/>
        <v>0</v>
      </c>
      <c r="V20" s="69">
        <f t="shared" si="15"/>
        <v>0</v>
      </c>
      <c r="W20" s="69">
        <f t="shared" si="15"/>
        <v>0</v>
      </c>
      <c r="X20" s="69">
        <f t="shared" si="15"/>
        <v>0</v>
      </c>
      <c r="Y20" s="69">
        <f t="shared" si="15"/>
        <v>0</v>
      </c>
      <c r="Z20" s="69">
        <f t="shared" si="15"/>
        <v>0</v>
      </c>
      <c r="AA20" s="69">
        <f t="shared" si="15"/>
        <v>0</v>
      </c>
      <c r="AB20" s="69">
        <f t="shared" si="15"/>
        <v>0</v>
      </c>
      <c r="AC20" s="69">
        <f t="shared" si="15"/>
        <v>0</v>
      </c>
      <c r="AD20" s="69">
        <f t="shared" si="15"/>
        <v>0</v>
      </c>
      <c r="AE20" s="74">
        <f t="shared" si="15"/>
        <v>0</v>
      </c>
      <c r="AF20" s="69"/>
      <c r="AG20" s="69"/>
      <c r="AH20" s="69"/>
      <c r="AI20" s="69"/>
      <c r="AJ20" s="69"/>
      <c r="AK20" s="69"/>
      <c r="AL20" s="69"/>
      <c r="AM20" s="69"/>
      <c r="AN20" s="69"/>
      <c r="AO20" s="69"/>
    </row>
    <row r="21" spans="2:41" x14ac:dyDescent="0.2">
      <c r="F21" s="71" t="s">
        <v>82</v>
      </c>
      <c r="G21" s="72"/>
      <c r="H21" s="69">
        <f t="shared" ref="H21:AE21" si="16">+IF($B$19=H4,$D$19,0)+IF(H19&lt;0,$D$20/$D$6,0)</f>
        <v>0</v>
      </c>
      <c r="I21" s="69">
        <f t="shared" si="16"/>
        <v>0</v>
      </c>
      <c r="J21" s="69">
        <f t="shared" si="16"/>
        <v>0</v>
      </c>
      <c r="K21" s="69">
        <f t="shared" si="16"/>
        <v>4100000</v>
      </c>
      <c r="L21" s="69">
        <f t="shared" si="16"/>
        <v>100000</v>
      </c>
      <c r="M21" s="69">
        <f t="shared" si="16"/>
        <v>100000</v>
      </c>
      <c r="N21" s="69">
        <f t="shared" si="16"/>
        <v>100000</v>
      </c>
      <c r="O21" s="69">
        <f t="shared" si="16"/>
        <v>100000</v>
      </c>
      <c r="P21" s="69">
        <f t="shared" si="16"/>
        <v>100000</v>
      </c>
      <c r="Q21" s="69">
        <f t="shared" si="16"/>
        <v>100000</v>
      </c>
      <c r="R21" s="69">
        <f t="shared" si="16"/>
        <v>100000</v>
      </c>
      <c r="S21" s="73">
        <f t="shared" si="16"/>
        <v>100000</v>
      </c>
      <c r="T21" s="69">
        <f t="shared" si="16"/>
        <v>100000</v>
      </c>
      <c r="U21" s="69">
        <f t="shared" si="16"/>
        <v>0</v>
      </c>
      <c r="V21" s="69">
        <f t="shared" si="16"/>
        <v>0</v>
      </c>
      <c r="W21" s="69">
        <f t="shared" si="16"/>
        <v>0</v>
      </c>
      <c r="X21" s="69">
        <f t="shared" si="16"/>
        <v>0</v>
      </c>
      <c r="Y21" s="69">
        <f t="shared" si="16"/>
        <v>0</v>
      </c>
      <c r="Z21" s="69">
        <f t="shared" si="16"/>
        <v>0</v>
      </c>
      <c r="AA21" s="69">
        <f t="shared" si="16"/>
        <v>0</v>
      </c>
      <c r="AB21" s="69">
        <f t="shared" si="16"/>
        <v>0</v>
      </c>
      <c r="AC21" s="69">
        <f t="shared" si="16"/>
        <v>0</v>
      </c>
      <c r="AD21" s="69">
        <f t="shared" si="16"/>
        <v>0</v>
      </c>
      <c r="AE21" s="74">
        <f t="shared" si="16"/>
        <v>0</v>
      </c>
      <c r="AF21" s="69"/>
      <c r="AG21" s="69"/>
      <c r="AH21" s="69"/>
      <c r="AI21" s="69"/>
      <c r="AJ21" s="69"/>
      <c r="AK21" s="69"/>
      <c r="AL21" s="69"/>
      <c r="AM21" s="69"/>
      <c r="AN21" s="69"/>
      <c r="AO21" s="69"/>
    </row>
    <row r="22" spans="2:41" x14ac:dyDescent="0.2">
      <c r="B22" s="76"/>
      <c r="C22" s="77" t="s">
        <v>101</v>
      </c>
      <c r="D22" s="78"/>
      <c r="F22" s="71" t="s">
        <v>28</v>
      </c>
      <c r="G22" s="72"/>
      <c r="H22" s="69">
        <f>+IF(SUM($H$24:H24)&lt;=0,-SUM($H$21:H21)*$D$17,0)+IF(H24=$D$30*$D$7,-SUM($H$21:H21)*$D$17,0)+IF(H4&lt;$B$19,-$D$24*$D$23,0)</f>
        <v>-5004.9999999999991</v>
      </c>
      <c r="I22" s="69">
        <f>+IF(SUM($H$24:I24)&lt;=0,-SUM($H$21:I21)*$D$17,0)+IF(I24=$D$30*$D$7,-SUM($H$21:I21)*$D$17,0)+IF(I4&lt;$B$19,-$D$24*$D$23,0)</f>
        <v>-5004.9999999999991</v>
      </c>
      <c r="J22" s="69">
        <f>+IF(SUM($H$24:J24)&lt;=0,-SUM($H$21:J21)*$D$17,0)+IF(J24=$D$30*$D$7,-SUM($H$21:J21)*$D$17,0)+IF(J4&lt;$B$19,-$D$24*$D$23,0)</f>
        <v>-5004.9999999999991</v>
      </c>
      <c r="K22" s="69">
        <f>+IF(SUM($H$24:K24)&lt;=0,-SUM($H$21:K21)*$D$17,0)+IF(K24=$D$30*$D$7,-SUM($H$21:K21)*$D$17,0)+IF(K4&lt;$B$19,-$D$24*$D$23,0)</f>
        <v>-22891.666666666668</v>
      </c>
      <c r="L22" s="69">
        <f>+IF(SUM($H$24:L24)&lt;=0,-SUM($H$21:L21)*$D$17,0)+IF(L24=$D$30*$D$7,-SUM($H$21:L21)*$D$17,0)+IF(L4&lt;$B$19,-$D$24*$D$23,0)</f>
        <v>-23450</v>
      </c>
      <c r="M22" s="69">
        <f>+IF(SUM($H$24:M24)&lt;=0,-SUM($H$21:M21)*$D$17,0)+IF(M24=$D$30*$D$7,-SUM($H$21:M21)*$D$17,0)+IF(M4&lt;$B$19,-$D$24*$D$23,0)</f>
        <v>-24008.333333333332</v>
      </c>
      <c r="N22" s="69">
        <f>+IF(SUM($H$24:N24)&lt;=0,-SUM($H$21:N21)*$D$17,0)+IF(N24=$D$30*$D$7,-SUM($H$21:N21)*$D$17,0)+IF(N4&lt;$B$19,-$D$24*$D$23,0)</f>
        <v>-24566.666666666668</v>
      </c>
      <c r="O22" s="69">
        <f>+IF(SUM($H$24:O24)&lt;=0,-SUM($H$21:O21)*$D$17,0)+IF(O24=$D$30*$D$7,-SUM($H$21:O21)*$D$17,0)+IF(O4&lt;$B$19,-$D$24*$D$23,0)</f>
        <v>-25125</v>
      </c>
      <c r="P22" s="69">
        <f>+IF(SUM($H$24:P24)&lt;=0,-SUM($H$21:P21)*$D$17,0)+IF(P24=$D$30*$D$7,-SUM($H$21:P21)*$D$17,0)+IF(P4&lt;$B$19,-$D$24*$D$23,0)</f>
        <v>-25683.333333333332</v>
      </c>
      <c r="Q22" s="69">
        <f>+IF(SUM($H$24:Q24)&lt;=0,-SUM($H$21:Q21)*$D$17,0)+IF(Q24=$D$30*$D$7,-SUM($H$21:Q21)*$D$17,0)+IF(Q4&lt;$B$19,-$D$24*$D$23,0)</f>
        <v>-26241.666666666668</v>
      </c>
      <c r="R22" s="69">
        <f>+IF(SUM($H$24:R24)&lt;=0,-SUM($H$21:R21)*$D$17,0)+IF(R24=$D$30*$D$7,-SUM($H$21:R21)*$D$17,0)+IF(R4&lt;$B$19,-$D$24*$D$23,0)</f>
        <v>-26800</v>
      </c>
      <c r="S22" s="73">
        <f>+IF(SUM($H$24:S24)&lt;=0,-SUM($H$21:S21)*$D$17,0)+IF(S24=$D$30*$D$7,-SUM($H$21:S21)*$D$17,0)+IF(S4&lt;$B$19,-$D$24*$D$23,0)</f>
        <v>-27358.333333333332</v>
      </c>
      <c r="T22" s="69">
        <f>+IF(SUM($H$24:T24)&lt;=0,-SUM($H$21:T21)*$D$17,0)+IF(T24=$D$30*$D$7,-SUM($H$21:T21)*$D$17,0)+IF(T4&lt;$B$19,-$D$24*$D$23,0)</f>
        <v>-27916.666666666668</v>
      </c>
      <c r="U22" s="69">
        <f>+IF(SUM($H$24:U24)&lt;=0,-SUM($H$21:U21)*$D$17,0)+IF(U24=$D$30*$D$7,-SUM($H$21:U21)*$D$17,0)+IF(U4&lt;$B$19,-$D$24*$D$23,0)</f>
        <v>-27916.666666666668</v>
      </c>
      <c r="V22" s="69">
        <f>+IF(SUM($H$24:V24)&lt;=0,-SUM($H$21:V21)*$D$17,0)+IF(V24=$D$30*$D$7,-SUM($H$21:V21)*$D$17,0)+IF(V4&lt;$B$19,-$D$24*$D$23,0)</f>
        <v>-27916.666666666668</v>
      </c>
      <c r="W22" s="69">
        <f>+IF(SUM($H$24:W24)&lt;=0,-SUM($H$21:W21)*$D$17,0)+IF(W24=$D$30*$D$7,-SUM($H$21:W21)*$D$17,0)+IF(W4&lt;$B$19,-$D$24*$D$23,0)</f>
        <v>-27916.666666666668</v>
      </c>
      <c r="X22" s="69">
        <f>+IF(SUM($H$24:X24)&lt;=0,-SUM($H$21:X21)*$D$17,0)+IF(X24=$D$30*$D$7,-SUM($H$21:X21)*$D$17,0)+IF(X4&lt;$B$19,-$D$24*$D$23,0)</f>
        <v>0</v>
      </c>
      <c r="Y22" s="69">
        <f>+IF(SUM($H$24:Y24)&lt;=0,-SUM($H$21:Y21)*$D$17,0)+IF(Y24=$D$30*$D$7,-SUM($H$21:Y21)*$D$17,0)+IF(Y4&lt;$B$19,-$D$24*$D$23,0)</f>
        <v>0</v>
      </c>
      <c r="Z22" s="69">
        <f>+IF(SUM($H$24:Z24)&lt;=0,-SUM($H$21:Z21)*$D$17,0)+IF(Z24=$D$30*$D$7,-SUM($H$21:Z21)*$D$17,0)+IF(Z4&lt;$B$19,-$D$24*$D$23,0)</f>
        <v>0</v>
      </c>
      <c r="AA22" s="69">
        <f>+IF(SUM($H$24:AA24)&lt;=0,-SUM($H$21:AA21)*$D$17,0)+IF(AA24=$D$30*$D$7,-SUM($H$21:AA21)*$D$17,0)+IF(AA4&lt;$B$19,-$D$24*$D$23,0)</f>
        <v>0</v>
      </c>
      <c r="AB22" s="69">
        <f>+IF(SUM($H$24:AB24)&lt;=0,-SUM($H$21:AB21)*$D$17,0)+IF(AB24=$D$30*$D$7,-SUM($H$21:AB21)*$D$17,0)+IF(AB4&lt;$B$19,-$D$24*$D$23,0)</f>
        <v>0</v>
      </c>
      <c r="AC22" s="69">
        <f>+IF(SUM($H$24:AC24)&lt;=0,-SUM($H$21:AC21)*$D$17,0)+IF(AC24=$D$30*$D$7,-SUM($H$21:AC21)*$D$17,0)+IF(AC4&lt;$B$19,-$D$24*$D$23,0)</f>
        <v>0</v>
      </c>
      <c r="AD22" s="69">
        <f>+IF(SUM($H$24:AD24)&lt;=0,-SUM($H$21:AD21)*$D$17,0)+IF(AD24=$D$30*$D$7,-SUM($H$21:AD21)*$D$17,0)+IF(AD4&lt;$B$19,-$D$24*$D$23,0)</f>
        <v>0</v>
      </c>
      <c r="AE22" s="74">
        <f>+IF(SUM($H$24:AE24)&lt;=0,-SUM($H$21:AE21)*$D$17,0)+IF(AE24=$D$30*$D$7,-SUM($H$21:AE21)*$D$17,0)+IF(AE4&lt;$B$19,-$D$24*$D$23,0)</f>
        <v>0</v>
      </c>
      <c r="AF22" s="69"/>
      <c r="AG22" s="69"/>
      <c r="AH22" s="69"/>
      <c r="AI22" s="69"/>
      <c r="AJ22" s="69"/>
      <c r="AK22" s="69"/>
      <c r="AL22" s="69"/>
      <c r="AM22" s="69"/>
      <c r="AN22" s="69"/>
      <c r="AO22" s="69"/>
    </row>
    <row r="23" spans="2:41" x14ac:dyDescent="0.2">
      <c r="B23" s="79">
        <v>1</v>
      </c>
      <c r="C23" s="1" t="s">
        <v>30</v>
      </c>
      <c r="D23" s="80">
        <f>+D8*D26</f>
        <v>1000999.9999999999</v>
      </c>
      <c r="F23" s="71" t="s">
        <v>29</v>
      </c>
      <c r="G23" s="72"/>
      <c r="H23" s="69">
        <f t="shared" ref="H23:AE23" si="17">-IF(H4=$B$19,$D$23,0)-IF(H4=$D$29,($D$19+$D$20),0)</f>
        <v>0</v>
      </c>
      <c r="I23" s="69">
        <f t="shared" si="17"/>
        <v>0</v>
      </c>
      <c r="J23" s="69">
        <f t="shared" si="17"/>
        <v>0</v>
      </c>
      <c r="K23" s="69">
        <f t="shared" si="17"/>
        <v>-1000999.9999999999</v>
      </c>
      <c r="L23" s="69">
        <f t="shared" si="17"/>
        <v>0</v>
      </c>
      <c r="M23" s="69">
        <f t="shared" si="17"/>
        <v>0</v>
      </c>
      <c r="N23" s="69">
        <f t="shared" si="17"/>
        <v>0</v>
      </c>
      <c r="O23" s="69">
        <f t="shared" si="17"/>
        <v>0</v>
      </c>
      <c r="P23" s="69">
        <f t="shared" si="17"/>
        <v>0</v>
      </c>
      <c r="Q23" s="69">
        <f t="shared" si="17"/>
        <v>0</v>
      </c>
      <c r="R23" s="69">
        <f t="shared" si="17"/>
        <v>0</v>
      </c>
      <c r="S23" s="73">
        <f t="shared" si="17"/>
        <v>0</v>
      </c>
      <c r="T23" s="69">
        <f t="shared" si="17"/>
        <v>0</v>
      </c>
      <c r="U23" s="69">
        <f t="shared" si="17"/>
        <v>0</v>
      </c>
      <c r="V23" s="69">
        <f t="shared" si="17"/>
        <v>0</v>
      </c>
      <c r="W23" s="69">
        <f t="shared" si="17"/>
        <v>-5000000</v>
      </c>
      <c r="X23" s="69">
        <f t="shared" si="17"/>
        <v>0</v>
      </c>
      <c r="Y23" s="69">
        <f t="shared" si="17"/>
        <v>0</v>
      </c>
      <c r="Z23" s="69">
        <f t="shared" si="17"/>
        <v>0</v>
      </c>
      <c r="AA23" s="69">
        <f t="shared" si="17"/>
        <v>0</v>
      </c>
      <c r="AB23" s="69">
        <f t="shared" si="17"/>
        <v>0</v>
      </c>
      <c r="AC23" s="69">
        <f t="shared" si="17"/>
        <v>0</v>
      </c>
      <c r="AD23" s="69">
        <f t="shared" si="17"/>
        <v>0</v>
      </c>
      <c r="AE23" s="74">
        <f t="shared" si="17"/>
        <v>0</v>
      </c>
      <c r="AF23" s="81"/>
      <c r="AG23" s="81"/>
      <c r="AH23" s="81"/>
      <c r="AI23" s="81"/>
      <c r="AJ23" s="81"/>
      <c r="AK23" s="81"/>
      <c r="AL23" s="81"/>
      <c r="AM23" s="81"/>
      <c r="AN23" s="81"/>
      <c r="AO23" s="81"/>
    </row>
    <row r="24" spans="2:41" x14ac:dyDescent="0.2">
      <c r="B24" s="82">
        <v>0.06</v>
      </c>
      <c r="C24" s="1" t="s">
        <v>32</v>
      </c>
      <c r="D24" s="83">
        <f>B24/12</f>
        <v>5.0000000000000001E-3</v>
      </c>
      <c r="F24" s="71" t="s">
        <v>31</v>
      </c>
      <c r="G24" s="72"/>
      <c r="H24" s="69">
        <f t="shared" ref="H24:AE24" si="18">+IF($D$29=H$4,$D$7*$D$30,0)</f>
        <v>0</v>
      </c>
      <c r="I24" s="69">
        <f t="shared" si="18"/>
        <v>0</v>
      </c>
      <c r="J24" s="69">
        <f t="shared" si="18"/>
        <v>0</v>
      </c>
      <c r="K24" s="69">
        <f t="shared" si="18"/>
        <v>0</v>
      </c>
      <c r="L24" s="69">
        <f t="shared" si="18"/>
        <v>0</v>
      </c>
      <c r="M24" s="69">
        <f t="shared" si="18"/>
        <v>0</v>
      </c>
      <c r="N24" s="69">
        <f t="shared" si="18"/>
        <v>0</v>
      </c>
      <c r="O24" s="69">
        <f t="shared" si="18"/>
        <v>0</v>
      </c>
      <c r="P24" s="69">
        <f t="shared" si="18"/>
        <v>0</v>
      </c>
      <c r="Q24" s="69">
        <f t="shared" si="18"/>
        <v>0</v>
      </c>
      <c r="R24" s="69">
        <f t="shared" si="18"/>
        <v>0</v>
      </c>
      <c r="S24" s="73">
        <f t="shared" si="18"/>
        <v>0</v>
      </c>
      <c r="T24" s="69">
        <f t="shared" si="18"/>
        <v>0</v>
      </c>
      <c r="U24" s="69">
        <f t="shared" si="18"/>
        <v>0</v>
      </c>
      <c r="V24" s="69">
        <f t="shared" si="18"/>
        <v>0</v>
      </c>
      <c r="W24" s="69">
        <f t="shared" si="18"/>
        <v>10643000</v>
      </c>
      <c r="X24" s="69">
        <f t="shared" si="18"/>
        <v>0</v>
      </c>
      <c r="Y24" s="69">
        <f t="shared" si="18"/>
        <v>0</v>
      </c>
      <c r="Z24" s="69">
        <f t="shared" si="18"/>
        <v>0</v>
      </c>
      <c r="AA24" s="69">
        <f t="shared" si="18"/>
        <v>0</v>
      </c>
      <c r="AB24" s="69">
        <f t="shared" si="18"/>
        <v>0</v>
      </c>
      <c r="AC24" s="69">
        <f t="shared" si="18"/>
        <v>0</v>
      </c>
      <c r="AD24" s="69">
        <f t="shared" si="18"/>
        <v>0</v>
      </c>
      <c r="AE24" s="74">
        <f t="shared" si="18"/>
        <v>0</v>
      </c>
      <c r="AF24" s="69"/>
      <c r="AG24" s="69"/>
      <c r="AH24" s="69"/>
      <c r="AI24" s="69"/>
      <c r="AJ24" s="69"/>
      <c r="AK24" s="69"/>
      <c r="AL24" s="69"/>
      <c r="AM24" s="69"/>
      <c r="AN24" s="69"/>
      <c r="AO24" s="69"/>
    </row>
    <row r="25" spans="2:41" x14ac:dyDescent="0.2">
      <c r="B25" s="84">
        <v>0</v>
      </c>
      <c r="C25" s="1" t="s">
        <v>34</v>
      </c>
      <c r="D25" s="85">
        <f>+B25*D23</f>
        <v>0</v>
      </c>
      <c r="F25" s="71" t="s">
        <v>33</v>
      </c>
      <c r="G25" s="72"/>
      <c r="H25" s="69">
        <f t="shared" ref="H25:AE25" si="19">-H$24*$D$31</f>
        <v>0</v>
      </c>
      <c r="I25" s="69">
        <f t="shared" si="19"/>
        <v>0</v>
      </c>
      <c r="J25" s="69">
        <f t="shared" si="19"/>
        <v>0</v>
      </c>
      <c r="K25" s="69">
        <f t="shared" si="19"/>
        <v>0</v>
      </c>
      <c r="L25" s="69">
        <f t="shared" si="19"/>
        <v>0</v>
      </c>
      <c r="M25" s="69">
        <f t="shared" si="19"/>
        <v>0</v>
      </c>
      <c r="N25" s="69">
        <f t="shared" si="19"/>
        <v>0</v>
      </c>
      <c r="O25" s="69">
        <f t="shared" si="19"/>
        <v>0</v>
      </c>
      <c r="P25" s="69">
        <f t="shared" si="19"/>
        <v>0</v>
      </c>
      <c r="Q25" s="69">
        <f t="shared" si="19"/>
        <v>0</v>
      </c>
      <c r="R25" s="69">
        <f t="shared" si="19"/>
        <v>0</v>
      </c>
      <c r="S25" s="73">
        <f t="shared" si="19"/>
        <v>0</v>
      </c>
      <c r="T25" s="69">
        <f t="shared" si="19"/>
        <v>0</v>
      </c>
      <c r="U25" s="69">
        <f t="shared" si="19"/>
        <v>0</v>
      </c>
      <c r="V25" s="69">
        <f t="shared" si="19"/>
        <v>0</v>
      </c>
      <c r="W25" s="69">
        <f t="shared" si="19"/>
        <v>-386340.89999999997</v>
      </c>
      <c r="X25" s="69">
        <f t="shared" si="19"/>
        <v>0</v>
      </c>
      <c r="Y25" s="69">
        <f t="shared" si="19"/>
        <v>0</v>
      </c>
      <c r="Z25" s="69">
        <f t="shared" si="19"/>
        <v>0</v>
      </c>
      <c r="AA25" s="69">
        <f t="shared" si="19"/>
        <v>0</v>
      </c>
      <c r="AB25" s="69">
        <f t="shared" si="19"/>
        <v>0</v>
      </c>
      <c r="AC25" s="69">
        <f t="shared" si="19"/>
        <v>0</v>
      </c>
      <c r="AD25" s="69">
        <f t="shared" si="19"/>
        <v>0</v>
      </c>
      <c r="AE25" s="74">
        <f t="shared" si="19"/>
        <v>0</v>
      </c>
      <c r="AF25" s="69"/>
      <c r="AG25" s="69"/>
      <c r="AH25" s="69"/>
      <c r="AI25" s="69"/>
      <c r="AJ25" s="69"/>
      <c r="AK25" s="69"/>
      <c r="AL25" s="69"/>
      <c r="AM25" s="69"/>
      <c r="AN25" s="69"/>
      <c r="AO25" s="69"/>
    </row>
    <row r="26" spans="2:41" x14ac:dyDescent="0.2">
      <c r="B26" s="86"/>
      <c r="C26" s="87" t="s">
        <v>23</v>
      </c>
      <c r="D26" s="88">
        <v>0.14299999999999999</v>
      </c>
      <c r="F26" s="71" t="s">
        <v>35</v>
      </c>
      <c r="G26" s="72"/>
      <c r="H26" s="69">
        <f t="shared" ref="H26:AE26" si="20">+IF(H4&lt;=$D$29,SUM(H10:H13),0)</f>
        <v>0</v>
      </c>
      <c r="I26" s="69">
        <f t="shared" si="20"/>
        <v>0</v>
      </c>
      <c r="J26" s="69">
        <f t="shared" si="20"/>
        <v>0</v>
      </c>
      <c r="K26" s="69">
        <f t="shared" si="20"/>
        <v>-1800</v>
      </c>
      <c r="L26" s="69">
        <f t="shared" si="20"/>
        <v>-1800</v>
      </c>
      <c r="M26" s="69">
        <f t="shared" si="20"/>
        <v>-1800</v>
      </c>
      <c r="N26" s="69">
        <f t="shared" si="20"/>
        <v>-1800</v>
      </c>
      <c r="O26" s="69">
        <f t="shared" si="20"/>
        <v>-1800</v>
      </c>
      <c r="P26" s="69">
        <f t="shared" si="20"/>
        <v>-1800</v>
      </c>
      <c r="Q26" s="69">
        <f t="shared" si="20"/>
        <v>-1800</v>
      </c>
      <c r="R26" s="69">
        <f t="shared" si="20"/>
        <v>-1800</v>
      </c>
      <c r="S26" s="73">
        <f t="shared" si="20"/>
        <v>-7800</v>
      </c>
      <c r="T26" s="69">
        <f t="shared" si="20"/>
        <v>-1800</v>
      </c>
      <c r="U26" s="69">
        <f t="shared" si="20"/>
        <v>-1800</v>
      </c>
      <c r="V26" s="69">
        <f t="shared" si="20"/>
        <v>-1800</v>
      </c>
      <c r="W26" s="69">
        <f t="shared" si="20"/>
        <v>-1800</v>
      </c>
      <c r="X26" s="69">
        <f t="shared" si="20"/>
        <v>0</v>
      </c>
      <c r="Y26" s="69">
        <f t="shared" si="20"/>
        <v>0</v>
      </c>
      <c r="Z26" s="69">
        <f t="shared" si="20"/>
        <v>0</v>
      </c>
      <c r="AA26" s="69">
        <f t="shared" si="20"/>
        <v>0</v>
      </c>
      <c r="AB26" s="69">
        <f t="shared" si="20"/>
        <v>0</v>
      </c>
      <c r="AC26" s="69">
        <f t="shared" si="20"/>
        <v>0</v>
      </c>
      <c r="AD26" s="69">
        <f t="shared" si="20"/>
        <v>0</v>
      </c>
      <c r="AE26" s="74">
        <f t="shared" si="20"/>
        <v>0</v>
      </c>
      <c r="AF26" s="69"/>
      <c r="AG26" s="69"/>
      <c r="AH26" s="69"/>
      <c r="AI26" s="69"/>
      <c r="AJ26" s="69"/>
      <c r="AK26" s="69"/>
      <c r="AL26" s="69"/>
      <c r="AM26" s="69"/>
      <c r="AN26" s="69"/>
      <c r="AO26" s="69"/>
    </row>
    <row r="27" spans="2:41" x14ac:dyDescent="0.2">
      <c r="F27" s="14" t="s">
        <v>36</v>
      </c>
      <c r="H27" s="69">
        <f t="shared" ref="H27:AE27" si="21">+IF(H4=$D$5,-SUM($D$19:$D$20)*$D$36,0)</f>
        <v>0</v>
      </c>
      <c r="I27" s="69">
        <f t="shared" si="21"/>
        <v>0</v>
      </c>
      <c r="J27" s="69">
        <f t="shared" si="21"/>
        <v>0</v>
      </c>
      <c r="K27" s="69">
        <f t="shared" si="21"/>
        <v>-75000</v>
      </c>
      <c r="L27" s="69">
        <f t="shared" si="21"/>
        <v>0</v>
      </c>
      <c r="M27" s="69">
        <f t="shared" si="21"/>
        <v>0</v>
      </c>
      <c r="N27" s="69">
        <f t="shared" si="21"/>
        <v>0</v>
      </c>
      <c r="O27" s="69">
        <f t="shared" si="21"/>
        <v>0</v>
      </c>
      <c r="P27" s="69">
        <f t="shared" si="21"/>
        <v>0</v>
      </c>
      <c r="Q27" s="69">
        <f t="shared" si="21"/>
        <v>0</v>
      </c>
      <c r="R27" s="69">
        <f t="shared" si="21"/>
        <v>0</v>
      </c>
      <c r="S27" s="73">
        <f t="shared" si="21"/>
        <v>0</v>
      </c>
      <c r="T27" s="69">
        <f t="shared" si="21"/>
        <v>0</v>
      </c>
      <c r="U27" s="69">
        <f t="shared" si="21"/>
        <v>0</v>
      </c>
      <c r="V27" s="69">
        <f t="shared" si="21"/>
        <v>0</v>
      </c>
      <c r="W27" s="69">
        <f t="shared" si="21"/>
        <v>0</v>
      </c>
      <c r="X27" s="69">
        <f t="shared" si="21"/>
        <v>0</v>
      </c>
      <c r="Y27" s="69">
        <f t="shared" si="21"/>
        <v>0</v>
      </c>
      <c r="Z27" s="69">
        <f t="shared" si="21"/>
        <v>0</v>
      </c>
      <c r="AA27" s="69">
        <f t="shared" si="21"/>
        <v>0</v>
      </c>
      <c r="AB27" s="69">
        <f t="shared" si="21"/>
        <v>0</v>
      </c>
      <c r="AC27" s="69">
        <f t="shared" si="21"/>
        <v>0</v>
      </c>
      <c r="AD27" s="69">
        <f t="shared" si="21"/>
        <v>0</v>
      </c>
      <c r="AE27" s="74">
        <f t="shared" si="21"/>
        <v>0</v>
      </c>
      <c r="AF27" s="69"/>
      <c r="AG27" s="69"/>
      <c r="AH27" s="69"/>
      <c r="AI27" s="69"/>
      <c r="AJ27" s="69"/>
      <c r="AK27" s="69"/>
      <c r="AL27" s="69"/>
      <c r="AM27" s="69"/>
      <c r="AN27" s="69"/>
      <c r="AO27" s="69"/>
    </row>
    <row r="28" spans="2:41" x14ac:dyDescent="0.2">
      <c r="C28" s="5" t="s">
        <v>38</v>
      </c>
      <c r="F28" s="14" t="s">
        <v>37</v>
      </c>
      <c r="H28" s="69">
        <f>+IF(H19&lt;0,H19*$D$37*(1+$B$38),0)</f>
        <v>0</v>
      </c>
      <c r="I28" s="69">
        <f t="shared" ref="I28:AE28" si="22">+IF(I19&lt;0,I19*$D$37*(1+$B$38),0)</f>
        <v>0</v>
      </c>
      <c r="J28" s="69">
        <f t="shared" si="22"/>
        <v>0</v>
      </c>
      <c r="K28" s="69">
        <f t="shared" si="22"/>
        <v>-5803.1067599999997</v>
      </c>
      <c r="L28" s="69">
        <f t="shared" si="22"/>
        <v>-5803.1067599999997</v>
      </c>
      <c r="M28" s="69">
        <f t="shared" ref="M28:V28" si="23">+IF(M19&lt;0,M19*$D$37*(1+$B$38),0)</f>
        <v>-5803.1067599999997</v>
      </c>
      <c r="N28" s="69">
        <f t="shared" si="23"/>
        <v>-5803.1067599999997</v>
      </c>
      <c r="O28" s="69">
        <f t="shared" si="23"/>
        <v>-5803.1067599999997</v>
      </c>
      <c r="P28" s="69">
        <f t="shared" si="23"/>
        <v>-5803.1067599999997</v>
      </c>
      <c r="Q28" s="69">
        <f t="shared" si="23"/>
        <v>-5803.1067599999997</v>
      </c>
      <c r="R28" s="69">
        <f t="shared" si="23"/>
        <v>-5803.1067599999997</v>
      </c>
      <c r="S28" s="69">
        <f t="shared" si="23"/>
        <v>-5803.1067599999997</v>
      </c>
      <c r="T28" s="69">
        <f t="shared" si="23"/>
        <v>-5803.1067599999997</v>
      </c>
      <c r="U28" s="69">
        <f t="shared" si="23"/>
        <v>0</v>
      </c>
      <c r="V28" s="69">
        <f t="shared" si="23"/>
        <v>0</v>
      </c>
      <c r="W28" s="69">
        <f t="shared" ref="W28" si="24">+IF(W19&lt;0,W19*$D$37*(1+$B$38),0)</f>
        <v>0</v>
      </c>
      <c r="X28" s="69">
        <f t="shared" si="22"/>
        <v>0</v>
      </c>
      <c r="Y28" s="69">
        <f t="shared" si="22"/>
        <v>0</v>
      </c>
      <c r="Z28" s="69">
        <f t="shared" si="22"/>
        <v>0</v>
      </c>
      <c r="AA28" s="69">
        <f t="shared" si="22"/>
        <v>0</v>
      </c>
      <c r="AB28" s="69">
        <f t="shared" si="22"/>
        <v>0</v>
      </c>
      <c r="AC28" s="69">
        <f t="shared" si="22"/>
        <v>0</v>
      </c>
      <c r="AD28" s="69">
        <f t="shared" si="22"/>
        <v>0</v>
      </c>
      <c r="AE28" s="74">
        <f t="shared" si="22"/>
        <v>0</v>
      </c>
      <c r="AF28" s="69"/>
      <c r="AG28" s="69"/>
      <c r="AH28" s="69"/>
      <c r="AI28" s="69"/>
      <c r="AJ28" s="69"/>
      <c r="AK28" s="69"/>
      <c r="AL28" s="69"/>
      <c r="AM28" s="69"/>
      <c r="AN28" s="69"/>
      <c r="AO28" s="69"/>
    </row>
    <row r="29" spans="2:41" x14ac:dyDescent="0.2">
      <c r="C29" s="1" t="s">
        <v>40</v>
      </c>
      <c r="D29" s="89">
        <v>16</v>
      </c>
      <c r="F29" s="71" t="s">
        <v>39</v>
      </c>
      <c r="G29" s="72"/>
      <c r="H29" s="69">
        <f>IF($D$5&lt;=H4,IF($D$29&gt;=H4,IF($W$4&gt;=H4,MIN($H$31:H31)*$D$38*(1+$B$38)/12,0),0),0)</f>
        <v>0</v>
      </c>
      <c r="I29" s="69">
        <f>IF($D$5&lt;=I4,IF($D$29&gt;=I4,IF($W$4&gt;=I4,MIN($H$31:I31)*$D$38*(1+$B$38)/12,0),0),0)</f>
        <v>0</v>
      </c>
      <c r="J29" s="69">
        <f>IF($D$5&lt;=J4,IF($D$29&gt;=J4,IF($W$4&gt;=J4,MIN($H$31:J31)*$D$38*(1+$B$38)/12,0),0),0)</f>
        <v>0</v>
      </c>
      <c r="K29" s="69">
        <f ca="1">IF($D$5&lt;=K4,IF($D$29&gt;=K4,IF($W$4&gt;=K4,MIN($H$31:K31)*$D$38*(1+$B$38)/12,0),0),0)</f>
        <v>-5205.4716444200185</v>
      </c>
      <c r="L29" s="69">
        <f ca="1">IF($D$5&lt;=L4,IF($D$29&gt;=L4,IF($W$4&gt;=L4,MIN($H$31:L31)*$D$38*(1+$B$38)/12,0),0),0)</f>
        <v>-5290.5384941168704</v>
      </c>
      <c r="M29" s="69">
        <f ca="1">IF($D$5&lt;=M4,IF($D$29&gt;=M4,IF($W$4&gt;=M4,MIN($H$31:M31)*$D$38*(1+$B$38)/12,0),0),0)</f>
        <v>-5376.5799606985938</v>
      </c>
      <c r="N29" s="69">
        <f ca="1">IF($D$5&lt;=N4,IF($D$29&gt;=N4,IF($W$4&gt;=N4,MIN($H$31:N31)*$D$38*(1+$B$38)/12,0),0),0)</f>
        <v>-5463.5975205061923</v>
      </c>
      <c r="O29" s="69">
        <f ca="1">IF($D$5&lt;=O4,IF($D$29&gt;=O4,IF($W$4&gt;=O4,MIN($H$31:O31)*$D$38*(1+$B$38)/12,0),0),0)</f>
        <v>-5551.5926521170213</v>
      </c>
      <c r="P29" s="69">
        <f ca="1">IF($D$5&lt;=P4,IF($D$29&gt;=P4,IF($W$4&gt;=P4,MIN($H$31:P31)*$D$38*(1+$B$38)/12,0),0),0)</f>
        <v>-5640.5668363481664</v>
      </c>
      <c r="Q29" s="69">
        <f ca="1">IF($D$5&lt;=Q4,IF($D$29&gt;=Q4,IF($W$4&gt;=Q4,MIN($H$31:Q31)*$D$38*(1+$B$38)/12,0),0),0)</f>
        <v>-5730.5215562598469</v>
      </c>
      <c r="R29" s="69">
        <f ca="1">IF($D$5&lt;=R4,IF($D$29&gt;=R4,IF($W$4&gt;=R4,MIN($H$31:R31)*$D$38*(1+$B$38)/12,0),0),0)</f>
        <v>-5821.458297158807</v>
      </c>
      <c r="S29" s="69">
        <f ca="1">IF($D$5&lt;=S4,IF($D$29&gt;=S4,IF($W$4&gt;=S4,MIN($H$31:S31)*$D$38*(1+$B$38)/12,0),0),0)</f>
        <v>-5922.4672933311485</v>
      </c>
      <c r="T29" s="69">
        <f ca="1">IF($D$5&lt;=T4,IF($D$29&gt;=T4,IF($W$4&gt;=T4,MIN($H$31:T31)*$D$38*(1+$B$38)/12,0),0),0)</f>
        <v>-6015.3863086808806</v>
      </c>
      <c r="U29" s="69">
        <f ca="1">IF($D$5&lt;=U4,IF($D$29&gt;=U4,IF($W$4&gt;=U4,MIN($H$31:U31)*$D$38*(1+$B$38)/12,0),0),0)</f>
        <v>-6069.5129052834827</v>
      </c>
      <c r="V29" s="69">
        <f ca="1">IF($D$5&lt;=V4,IF($D$29&gt;=V4,IF($W$4&gt;=V4,MIN($H$31:V31)*$D$38*(1+$B$38)/12,0),0),0)</f>
        <v>-6123.7214923740721</v>
      </c>
      <c r="W29" s="69">
        <f ca="1">IF($D$5&lt;=W4,IF($D$29&gt;=W4,IF($W$4&gt;=W4,MIN($H$31:W31)*$D$38*(1+$B$38)/12,0),0),0)</f>
        <v>-6123.7214923740721</v>
      </c>
      <c r="X29" s="69">
        <f>IF($D$5&lt;=X4,IF($D$29&gt;=X4,IF($W$4&gt;=X4,MIN($H$31:X31)*$D$38*(1+$B$38)/12,0),0),0)</f>
        <v>0</v>
      </c>
      <c r="Y29" s="69">
        <f>IF($D$5&lt;=Y4,IF($D$29&gt;=Y4,IF($W$4&gt;=Y4,MIN($H$31:Y31)*$D$38*(1+$B$38)/12,0),0),0)</f>
        <v>0</v>
      </c>
      <c r="Z29" s="69">
        <f>IF($D$5&lt;=Z4,IF($D$29&gt;=Z4,IF($W$4&gt;=Z4,MIN($H$31:Z31)*$D$38*(1+$B$38)/12,0),0),0)</f>
        <v>0</v>
      </c>
      <c r="AA29" s="69">
        <f>IF($D$5&lt;=AA4,IF($D$29&gt;=AA4,IF($W$4&gt;=AA4,MIN($H$31:AA31)*$D$38*(1+$B$38)/12,0),0),0)</f>
        <v>0</v>
      </c>
      <c r="AB29" s="69">
        <f>IF($D$5&lt;=AB4,IF($D$29&gt;=AB4,IF($W$4&gt;=AB4,MIN($H$31:AB31)*$D$38*(1+$B$38)/12,0),0),0)</f>
        <v>0</v>
      </c>
      <c r="AC29" s="69">
        <f>IF($D$5&lt;=AC4,IF($D$29&gt;=AC4,IF($W$4&gt;=AC4,MIN($H$31:AC31)*$D$38*(1+$B$38)/12,0),0),0)</f>
        <v>0</v>
      </c>
      <c r="AD29" s="69">
        <f>IF($D$5&lt;=AD4,IF($D$29&gt;=AD4,IF($W$4&gt;=AD4,MIN($H$31:AD31)*$D$38*(1+$B$38)/12,0),0),0)</f>
        <v>0</v>
      </c>
      <c r="AE29" s="74">
        <f>IF($D$5&lt;=AE4,IF($D$29&gt;=AE4,IF($W$4&gt;=AE4,MIN($H$31:AE31)*$D$38*(1+$B$38)/12,0),0),0)</f>
        <v>0</v>
      </c>
      <c r="AF29" s="81"/>
      <c r="AG29" s="81"/>
      <c r="AH29" s="81"/>
      <c r="AI29" s="81"/>
      <c r="AJ29" s="81"/>
      <c r="AK29" s="81"/>
      <c r="AL29" s="81"/>
      <c r="AM29" s="81"/>
      <c r="AN29" s="81"/>
      <c r="AO29" s="81"/>
    </row>
    <row r="30" spans="2:41" x14ac:dyDescent="0.2">
      <c r="C30" s="1" t="s">
        <v>31</v>
      </c>
      <c r="D30" s="94">
        <v>14500</v>
      </c>
      <c r="F30" s="90" t="s">
        <v>41</v>
      </c>
      <c r="G30" s="91"/>
      <c r="H30" s="92">
        <f t="shared" ref="H30:L30" si="25">+SUM(H17:H29)</f>
        <v>-5004.9999999999991</v>
      </c>
      <c r="I30" s="92">
        <f t="shared" si="25"/>
        <v>-5004.9999999999991</v>
      </c>
      <c r="J30" s="92">
        <f t="shared" si="25"/>
        <v>-5004.9999999999991</v>
      </c>
      <c r="K30" s="92">
        <f t="shared" ca="1" si="25"/>
        <v>-3426619.1450710869</v>
      </c>
      <c r="L30" s="92">
        <f t="shared" ca="1" si="25"/>
        <v>-56242.545254116863</v>
      </c>
      <c r="M30" s="92">
        <f t="shared" ref="M30:V30" ca="1" si="26">+SUM(M17:M29)</f>
        <v>-56886.920054031922</v>
      </c>
      <c r="N30" s="92">
        <f t="shared" ca="1" si="26"/>
        <v>-57532.270947172859</v>
      </c>
      <c r="O30" s="92">
        <f t="shared" ca="1" si="26"/>
        <v>-58178.599412117015</v>
      </c>
      <c r="P30" s="92">
        <f t="shared" ca="1" si="26"/>
        <v>-58825.906929681492</v>
      </c>
      <c r="Q30" s="92">
        <f t="shared" ca="1" si="26"/>
        <v>-59474.194982926514</v>
      </c>
      <c r="R30" s="92">
        <f t="shared" ca="1" si="26"/>
        <v>-60123.465057158806</v>
      </c>
      <c r="S30" s="92">
        <f t="shared" ca="1" si="26"/>
        <v>-66782.80738666447</v>
      </c>
      <c r="T30" s="92">
        <f t="shared" ca="1" si="26"/>
        <v>-61434.059735347546</v>
      </c>
      <c r="U30" s="92">
        <f t="shared" ca="1" si="26"/>
        <v>-35786.179571950153</v>
      </c>
      <c r="V30" s="92">
        <f t="shared" ca="1" si="26"/>
        <v>-35840.38815904074</v>
      </c>
      <c r="W30" s="92">
        <f t="shared" ref="W30" ca="1" si="27">+SUM(W17:W29)</f>
        <v>5220818.7118409583</v>
      </c>
      <c r="X30" s="92">
        <f t="shared" ref="X30" si="28">+SUM(X17:X29)</f>
        <v>0</v>
      </c>
      <c r="Y30" s="92">
        <f t="shared" ref="Y30:AE30" si="29">+SUM(Y17:Y29)</f>
        <v>0</v>
      </c>
      <c r="Z30" s="92">
        <f t="shared" si="29"/>
        <v>0</v>
      </c>
      <c r="AA30" s="92">
        <f t="shared" si="29"/>
        <v>0</v>
      </c>
      <c r="AB30" s="92">
        <f t="shared" si="29"/>
        <v>0</v>
      </c>
      <c r="AC30" s="92">
        <f t="shared" si="29"/>
        <v>0</v>
      </c>
      <c r="AD30" s="92">
        <f t="shared" si="29"/>
        <v>0</v>
      </c>
      <c r="AE30" s="93">
        <f t="shared" si="29"/>
        <v>0</v>
      </c>
      <c r="AF30" s="97"/>
      <c r="AG30" s="97"/>
      <c r="AH30" s="97"/>
      <c r="AI30" s="97"/>
      <c r="AJ30" s="97"/>
      <c r="AK30" s="97"/>
      <c r="AL30" s="97"/>
      <c r="AM30" s="97"/>
      <c r="AN30" s="97"/>
      <c r="AO30" s="97"/>
    </row>
    <row r="31" spans="2:41" x14ac:dyDescent="0.2">
      <c r="C31" s="1" t="s">
        <v>43</v>
      </c>
      <c r="D31" s="99">
        <f>3%*(1+21%)</f>
        <v>3.6299999999999999E-2</v>
      </c>
      <c r="E31" s="100"/>
      <c r="F31" s="95" t="s">
        <v>42</v>
      </c>
      <c r="G31" s="96"/>
      <c r="H31" s="97">
        <f t="shared" ref="H31:AE31" si="30">IF($D$29&gt;=H4,+G31+H30,0)</f>
        <v>-5004.9999999999991</v>
      </c>
      <c r="I31" s="97">
        <f t="shared" si="30"/>
        <v>-10009.999999999998</v>
      </c>
      <c r="J31" s="97">
        <f t="shared" si="30"/>
        <v>-15014.999999999996</v>
      </c>
      <c r="K31" s="97">
        <f t="shared" ca="1" si="30"/>
        <v>-3441634.1450710869</v>
      </c>
      <c r="L31" s="97">
        <f t="shared" ca="1" si="30"/>
        <v>-3497876.6903252038</v>
      </c>
      <c r="M31" s="97">
        <f t="shared" ref="M31" ca="1" si="31">IF($D$29&gt;=M4,+L31+M30,0)</f>
        <v>-3554763.6103792358</v>
      </c>
      <c r="N31" s="97">
        <f t="shared" ref="N31" ca="1" si="32">IF($D$29&gt;=N4,+M31+N30,0)</f>
        <v>-3612295.8813264086</v>
      </c>
      <c r="O31" s="97">
        <f t="shared" ref="O31" ca="1" si="33">IF($D$29&gt;=O4,+N31+O30,0)</f>
        <v>-3670474.4807385257</v>
      </c>
      <c r="P31" s="97">
        <f t="shared" ref="P31" ca="1" si="34">IF($D$29&gt;=P4,+O31+P30,0)</f>
        <v>-3729300.3876682073</v>
      </c>
      <c r="Q31" s="97">
        <f t="shared" ref="Q31" ca="1" si="35">IF($D$29&gt;=Q4,+P31+Q30,0)</f>
        <v>-3788774.5826511336</v>
      </c>
      <c r="R31" s="97">
        <f t="shared" ref="R31" ca="1" si="36">IF($D$29&gt;=R4,+Q31+R30,0)</f>
        <v>-3848898.0477082925</v>
      </c>
      <c r="S31" s="97">
        <f t="shared" ref="S31" ca="1" si="37">IF($D$29&gt;=S4,+R31+S30,0)</f>
        <v>-3915680.8550949572</v>
      </c>
      <c r="T31" s="97">
        <f t="shared" ref="T31:U31" ca="1" si="38">IF($D$29&gt;=T4,+S31+T30,0)</f>
        <v>-3977114.9148303047</v>
      </c>
      <c r="U31" s="97">
        <f t="shared" ca="1" si="38"/>
        <v>-4012901.094402255</v>
      </c>
      <c r="V31" s="97">
        <f t="shared" ref="V31:W31" ca="1" si="39">IF($D$29&gt;=V4,+U31+V30,0)</f>
        <v>-4048741.4825612959</v>
      </c>
      <c r="W31" s="97">
        <f t="shared" ca="1" si="39"/>
        <v>1172077.2292796625</v>
      </c>
      <c r="X31" s="97">
        <f t="shared" ref="X31" si="40">IF($D$29&gt;=X4,+W31+X30,0)</f>
        <v>0</v>
      </c>
      <c r="Y31" s="97">
        <f t="shared" si="30"/>
        <v>0</v>
      </c>
      <c r="Z31" s="97">
        <f t="shared" si="30"/>
        <v>0</v>
      </c>
      <c r="AA31" s="97">
        <f t="shared" si="30"/>
        <v>0</v>
      </c>
      <c r="AB31" s="97">
        <f t="shared" si="30"/>
        <v>0</v>
      </c>
      <c r="AC31" s="97">
        <f t="shared" si="30"/>
        <v>0</v>
      </c>
      <c r="AD31" s="97">
        <f t="shared" si="30"/>
        <v>0</v>
      </c>
      <c r="AE31" s="98">
        <f t="shared" si="30"/>
        <v>0</v>
      </c>
      <c r="AF31" s="69"/>
      <c r="AG31" s="69"/>
      <c r="AH31" s="69"/>
      <c r="AI31" s="69"/>
      <c r="AJ31" s="69"/>
      <c r="AK31" s="69"/>
      <c r="AL31" s="69"/>
      <c r="AM31" s="69"/>
      <c r="AN31" s="69"/>
      <c r="AO31" s="69"/>
    </row>
    <row r="32" spans="2:41" x14ac:dyDescent="0.2">
      <c r="C32" s="1" t="s">
        <v>45</v>
      </c>
      <c r="D32" s="103">
        <v>0</v>
      </c>
      <c r="F32" s="189" t="s">
        <v>78</v>
      </c>
      <c r="G32" s="190"/>
      <c r="H32" s="191">
        <f>+IF(H24&gt;0,-(SUM($H$22:H22,$H$17:H19,$H$25:H29,$H$24:H24,$H$35:H35)*$D$32)-SUM($H$30:H30)*$D$33,0)</f>
        <v>0</v>
      </c>
      <c r="I32" s="191">
        <f>+IF(I24&gt;0,-(SUM($H$22:I22,$H$17:I19,$H$25:I29,$H$24:I24,$H$35:I35)*$D$32)-SUM($H$30:I30)*$D$33,0)</f>
        <v>0</v>
      </c>
      <c r="J32" s="191">
        <f>+IF(J24&gt;0,-(SUM($H$22:J22,$H$17:J19,$H$25:J29,$H$24:J24,$H$35:J35)*$D$32)-SUM($H$30:J30)*$D$33,0)</f>
        <v>0</v>
      </c>
      <c r="K32" s="191">
        <f>+IF(K24&gt;0,-(SUM($H$22:K22,$H$17:K19,$H$25:K29,$H$24:K24,$H$35:K35)*$D$32)-SUM($H$30:K30)*$D$33,0)</f>
        <v>0</v>
      </c>
      <c r="L32" s="191">
        <f>+IF(L24&gt;0,-(SUM($H$22:L22,$H$17:L19,$H$25:L29,$H$24:L24,$H$35:L35)*$D$32)-SUM($H$30:L30)*$D$33,0)</f>
        <v>0</v>
      </c>
      <c r="M32" s="191">
        <f>+IF(M24&gt;0,-(SUM($H$22:M22,$H$17:M19,$H$25:M29,$H$24:M24,$H$35:M35)*$D$32)-SUM($H$30:M30)*$D$33,0)</f>
        <v>0</v>
      </c>
      <c r="N32" s="191">
        <f>+IF(N24&gt;0,-(SUM($H$22:N22,$H$17:N19,$H$25:N29,$H$24:N24,$H$35:N35)*$D$32)-SUM($H$30:N30)*$D$33,0)</f>
        <v>0</v>
      </c>
      <c r="O32" s="191">
        <f>+IF(O24&gt;0,-(SUM($H$22:O22,$H$17:O19,$H$25:O29,$H$24:O24,$H$35:O35)*$D$32)-SUM($H$30:O30)*$D$33,0)</f>
        <v>0</v>
      </c>
      <c r="P32" s="191">
        <f>+IF(P24&gt;0,-(SUM($H$22:P22,$H$17:P19,$H$25:P29,$H$24:P24,$H$35:P35)*$D$32)-SUM($H$30:P30)*$D$33,0)</f>
        <v>0</v>
      </c>
      <c r="Q32" s="191">
        <f>+IF(Q24&gt;0,-(SUM($H$22:Q22,$H$17:Q19,$H$25:Q29,$H$24:Q24,$H$35:Q35)*$D$32)-SUM($H$30:Q30)*$D$33,0)</f>
        <v>0</v>
      </c>
      <c r="R32" s="191">
        <f>+IF(R24&gt;0,-(SUM($H$22:R22,$H$17:R19,$H$25:R29,$H$24:R24,$H$35:R35)*$D$32)-SUM($H$30:R30)*$D$33,0)</f>
        <v>0</v>
      </c>
      <c r="S32" s="191">
        <f>+IF(S24&gt;0,-(SUM($H$22:S22,$H$17:S19,$H$25:S29,$H$24:S24,$H$35:S35)*$D$32)-SUM($H$30:S30)*$D$33,0)</f>
        <v>0</v>
      </c>
      <c r="T32" s="191">
        <f>+IF(T24&gt;0,-(SUM($H$22:T22,$H$17:T19,$H$25:T29,$H$24:T24,$H$35:T35)*$D$32)-SUM($H$30:T30)*$D$33,0)</f>
        <v>0</v>
      </c>
      <c r="U32" s="191">
        <f>+IF(U24&gt;0,-(SUM($H$22:U22,$H$17:U19,$H$25:U29,$H$24:U24,$H$35:U35)*$D$32)-SUM($H$30:U30)*$D$33,0)</f>
        <v>0</v>
      </c>
      <c r="V32" s="191">
        <f>+IF(V24&gt;0,-(SUM($H$22:V22,$H$17:V19,$H$25:V29,$H$24:V24,$H$35:V35)*$D$32)-SUM($H$30:V30)*$D$33,0)</f>
        <v>0</v>
      </c>
      <c r="W32" s="191">
        <f ca="1">+IF(W24&gt;0,-(SUM($H$22:W22,$H$17:W19,$H$25:W29,$H$24:W24,$H$35:W35)*$D$32)-SUM($H$30:W30)*$D$33,0)</f>
        <v>-23441.544585593248</v>
      </c>
      <c r="X32" s="191">
        <f>+IF(X24&gt;0,-(SUM($H$22:X22,$H$17:X19,$H$25:X29,$H$24:X24,$H$35:X35)*$D$32)-SUM($H$30:X30)*$D$33,0)</f>
        <v>0</v>
      </c>
      <c r="Y32" s="191">
        <f>+IF(Y24&gt;0,-(SUM($H$22:Y22,$H$17:Y19,$H$25:Y29,$H$24:Y24,$H$35:Y35)*$D$32)-SUM($H$30:Y30)*$D$33,0)</f>
        <v>0</v>
      </c>
      <c r="Z32" s="191">
        <f>+IF(Z24&gt;0,-(SUM($H$22:Z22,$H$17:Z19,$H$25:Z29,$H$24:Z24,$H$35:Z35)*$D$32)-SUM($H$30:Z30)*$D$33,0)</f>
        <v>0</v>
      </c>
      <c r="AA32" s="191">
        <f>+IF(AA24&gt;0,-(SUM($H$22:AA22,$H$17:AA19,$H$25:AA29,$H$24:AA24,$H$35:AA35)*$D$32)-SUM($H$30:AA30)*$D$33,0)</f>
        <v>0</v>
      </c>
      <c r="AB32" s="191">
        <f>+IF(AB24&gt;0,-(SUM($H$22:AB22,$H$17:AB19,$H$25:AB29,$H$24:AB24,$H$35:AB35)*$D$32)-SUM($H$30:AB30)*$D$33,0)</f>
        <v>0</v>
      </c>
      <c r="AC32" s="191">
        <f>+IF(AC24&gt;0,-(SUM($H$22:AC22,$H$17:AC19,$H$25:AC29,$H$24:AC24,$H$35:AC35)*$D$32)-SUM($H$30:AC30)*$D$33,0)</f>
        <v>0</v>
      </c>
      <c r="AD32" s="191">
        <f>+IF(AD24&gt;0,-(SUM($H$22:AD22,$H$17:AD19,$H$25:AD29,$H$24:AD24,$H$35:AD35)*$D$32)-SUM($H$30:AD30)*$D$33,0)</f>
        <v>0</v>
      </c>
      <c r="AE32" s="192">
        <f>+IF(AE24&gt;0,-(SUM($H$22:AE22,$H$17:AE19,$H$25:AE29,$H$24:AE24,$H$35:AE35)*$D$32)-SUM($H$30:AE30)*$D$33,0)</f>
        <v>0</v>
      </c>
      <c r="AF32" s="69"/>
      <c r="AG32" s="69"/>
      <c r="AH32" s="69"/>
      <c r="AI32" s="69"/>
      <c r="AJ32" s="69"/>
      <c r="AK32" s="69"/>
      <c r="AL32" s="69"/>
      <c r="AM32" s="69"/>
      <c r="AN32" s="69"/>
      <c r="AO32" s="69"/>
    </row>
    <row r="33" spans="2:41" x14ac:dyDescent="0.2">
      <c r="C33" s="1" t="s">
        <v>79</v>
      </c>
      <c r="D33" s="103">
        <v>0.02</v>
      </c>
      <c r="F33" s="90" t="s">
        <v>100</v>
      </c>
      <c r="G33" s="91"/>
      <c r="H33" s="92">
        <f>+H30+H32</f>
        <v>-5004.9999999999991</v>
      </c>
      <c r="I33" s="92">
        <f t="shared" ref="I33:AE33" si="41">+I30+I32</f>
        <v>-5004.9999999999991</v>
      </c>
      <c r="J33" s="92">
        <f t="shared" si="41"/>
        <v>-5004.9999999999991</v>
      </c>
      <c r="K33" s="92">
        <f t="shared" ca="1" si="41"/>
        <v>-3426619.1450710869</v>
      </c>
      <c r="L33" s="92">
        <f t="shared" ca="1" si="41"/>
        <v>-56242.545254116863</v>
      </c>
      <c r="M33" s="92">
        <f t="shared" ref="M33:W33" ca="1" si="42">+M30+M32</f>
        <v>-56886.920054031922</v>
      </c>
      <c r="N33" s="92">
        <f t="shared" ca="1" si="42"/>
        <v>-57532.270947172859</v>
      </c>
      <c r="O33" s="92">
        <f t="shared" ca="1" si="42"/>
        <v>-58178.599412117015</v>
      </c>
      <c r="P33" s="92">
        <f t="shared" ca="1" si="42"/>
        <v>-58825.906929681492</v>
      </c>
      <c r="Q33" s="92">
        <f t="shared" ca="1" si="42"/>
        <v>-59474.194982926514</v>
      </c>
      <c r="R33" s="92">
        <f t="shared" ca="1" si="42"/>
        <v>-60123.465057158806</v>
      </c>
      <c r="S33" s="92">
        <f t="shared" ca="1" si="42"/>
        <v>-66782.80738666447</v>
      </c>
      <c r="T33" s="92">
        <f t="shared" ca="1" si="42"/>
        <v>-61434.059735347546</v>
      </c>
      <c r="U33" s="92">
        <f t="shared" ca="1" si="42"/>
        <v>-35786.179571950153</v>
      </c>
      <c r="V33" s="92">
        <f t="shared" ca="1" si="42"/>
        <v>-35840.38815904074</v>
      </c>
      <c r="W33" s="92">
        <f t="shared" ca="1" si="42"/>
        <v>5197377.1672553653</v>
      </c>
      <c r="X33" s="92">
        <f t="shared" ref="X33" si="43">+X30+X32</f>
        <v>0</v>
      </c>
      <c r="Y33" s="92">
        <f t="shared" si="41"/>
        <v>0</v>
      </c>
      <c r="Z33" s="92">
        <f t="shared" si="41"/>
        <v>0</v>
      </c>
      <c r="AA33" s="92">
        <f t="shared" si="41"/>
        <v>0</v>
      </c>
      <c r="AB33" s="92">
        <f t="shared" si="41"/>
        <v>0</v>
      </c>
      <c r="AC33" s="92">
        <f t="shared" si="41"/>
        <v>0</v>
      </c>
      <c r="AD33" s="92">
        <f t="shared" si="41"/>
        <v>0</v>
      </c>
      <c r="AE33" s="93">
        <f t="shared" si="41"/>
        <v>0</v>
      </c>
      <c r="AF33" s="69"/>
      <c r="AG33" s="69"/>
      <c r="AH33" s="69"/>
      <c r="AI33" s="69"/>
      <c r="AJ33" s="69"/>
      <c r="AK33" s="69"/>
      <c r="AL33" s="69"/>
      <c r="AM33" s="69"/>
      <c r="AN33" s="69"/>
      <c r="AO33" s="69"/>
    </row>
    <row r="34" spans="2:41" x14ac:dyDescent="0.2">
      <c r="F34" s="95" t="s">
        <v>42</v>
      </c>
      <c r="G34" s="96"/>
      <c r="H34" s="97">
        <f t="shared" ref="H34:AE34" si="44">IF($D$29&gt;=H4,+G34+H33,0)</f>
        <v>-5004.9999999999991</v>
      </c>
      <c r="I34" s="97">
        <f t="shared" si="44"/>
        <v>-10009.999999999998</v>
      </c>
      <c r="J34" s="97">
        <f t="shared" si="44"/>
        <v>-15014.999999999996</v>
      </c>
      <c r="K34" s="97">
        <f t="shared" ca="1" si="44"/>
        <v>-3441634.1450710869</v>
      </c>
      <c r="L34" s="97">
        <f t="shared" ca="1" si="44"/>
        <v>-3497876.6903252038</v>
      </c>
      <c r="M34" s="97">
        <f t="shared" ref="M34" ca="1" si="45">IF($D$29&gt;=M4,+L34+M33,0)</f>
        <v>-3554763.6103792358</v>
      </c>
      <c r="N34" s="97">
        <f t="shared" ref="N34" ca="1" si="46">IF($D$29&gt;=N4,+M34+N33,0)</f>
        <v>-3612295.8813264086</v>
      </c>
      <c r="O34" s="97">
        <f t="shared" ref="O34" ca="1" si="47">IF($D$29&gt;=O4,+N34+O33,0)</f>
        <v>-3670474.4807385257</v>
      </c>
      <c r="P34" s="97">
        <f t="shared" ref="P34" ca="1" si="48">IF($D$29&gt;=P4,+O34+P33,0)</f>
        <v>-3729300.3876682073</v>
      </c>
      <c r="Q34" s="97">
        <f t="shared" ref="Q34" ca="1" si="49">IF($D$29&gt;=Q4,+P34+Q33,0)</f>
        <v>-3788774.5826511336</v>
      </c>
      <c r="R34" s="97">
        <f t="shared" ref="R34" ca="1" si="50">IF($D$29&gt;=R4,+Q34+R33,0)</f>
        <v>-3848898.0477082925</v>
      </c>
      <c r="S34" s="97">
        <f t="shared" ref="S34" ca="1" si="51">IF($D$29&gt;=S4,+R34+S33,0)</f>
        <v>-3915680.8550949572</v>
      </c>
      <c r="T34" s="97">
        <f t="shared" ref="T34:U34" ca="1" si="52">IF($D$29&gt;=T4,+S34+T33,0)</f>
        <v>-3977114.9148303047</v>
      </c>
      <c r="U34" s="97">
        <f t="shared" ca="1" si="52"/>
        <v>-4012901.094402255</v>
      </c>
      <c r="V34" s="97">
        <f t="shared" ref="V34:W34" ca="1" si="53">IF($D$29&gt;=V4,+U34+V33,0)</f>
        <v>-4048741.4825612959</v>
      </c>
      <c r="W34" s="97">
        <f t="shared" ca="1" si="53"/>
        <v>1148635.6846940694</v>
      </c>
      <c r="X34" s="97">
        <f t="shared" ref="X34" si="54">IF($D$29&gt;=X4,+W34+X33,0)</f>
        <v>0</v>
      </c>
      <c r="Y34" s="97">
        <f t="shared" si="44"/>
        <v>0</v>
      </c>
      <c r="Z34" s="97">
        <f t="shared" si="44"/>
        <v>0</v>
      </c>
      <c r="AA34" s="97">
        <f t="shared" si="44"/>
        <v>0</v>
      </c>
      <c r="AB34" s="97">
        <f t="shared" si="44"/>
        <v>0</v>
      </c>
      <c r="AC34" s="97">
        <f t="shared" si="44"/>
        <v>0</v>
      </c>
      <c r="AD34" s="97">
        <f t="shared" si="44"/>
        <v>0</v>
      </c>
      <c r="AE34" s="98">
        <f t="shared" si="44"/>
        <v>0</v>
      </c>
      <c r="AF34" s="81"/>
      <c r="AG34" s="81"/>
      <c r="AH34" s="81"/>
      <c r="AI34" s="81"/>
      <c r="AJ34" s="81"/>
      <c r="AK34" s="81"/>
      <c r="AL34" s="81"/>
      <c r="AM34" s="81"/>
      <c r="AN34" s="81"/>
      <c r="AO34" s="81"/>
    </row>
    <row r="35" spans="2:41" x14ac:dyDescent="0.2">
      <c r="C35" s="5" t="s">
        <v>46</v>
      </c>
      <c r="F35" s="101" t="s">
        <v>44</v>
      </c>
      <c r="G35" s="102"/>
      <c r="H35" s="69">
        <f t="shared" ref="H35:AE35" si="55">IF(H24&gt;0,IF(H41&gt;0,-H41*(1+$B$38),0),0)</f>
        <v>0</v>
      </c>
      <c r="I35" s="69">
        <f t="shared" si="55"/>
        <v>0</v>
      </c>
      <c r="J35" s="69">
        <f t="shared" si="55"/>
        <v>0</v>
      </c>
      <c r="K35" s="69">
        <f t="shared" si="55"/>
        <v>0</v>
      </c>
      <c r="L35" s="69">
        <f t="shared" si="55"/>
        <v>0</v>
      </c>
      <c r="M35" s="69">
        <f t="shared" ref="M35:W35" si="56">IF(M24&gt;0,IF(M41&gt;0,-M41*(1+$B$38),0),0)</f>
        <v>0</v>
      </c>
      <c r="N35" s="69">
        <f t="shared" si="56"/>
        <v>0</v>
      </c>
      <c r="O35" s="69">
        <f t="shared" si="56"/>
        <v>0</v>
      </c>
      <c r="P35" s="69">
        <f t="shared" si="56"/>
        <v>0</v>
      </c>
      <c r="Q35" s="69">
        <f t="shared" si="56"/>
        <v>0</v>
      </c>
      <c r="R35" s="69">
        <f t="shared" si="56"/>
        <v>0</v>
      </c>
      <c r="S35" s="69">
        <f t="shared" si="56"/>
        <v>0</v>
      </c>
      <c r="T35" s="69">
        <f t="shared" si="56"/>
        <v>0</v>
      </c>
      <c r="U35" s="69">
        <f t="shared" si="56"/>
        <v>0</v>
      </c>
      <c r="V35" s="69">
        <f t="shared" si="56"/>
        <v>0</v>
      </c>
      <c r="W35" s="69">
        <f t="shared" ca="1" si="56"/>
        <v>-185705.27447579231</v>
      </c>
      <c r="X35" s="69">
        <f t="shared" ref="X35" si="57">IF(X24&gt;0,IF(X41&gt;0,-X41*(1+$B$38),0),0)</f>
        <v>0</v>
      </c>
      <c r="Y35" s="69">
        <f t="shared" si="55"/>
        <v>0</v>
      </c>
      <c r="Z35" s="69">
        <f t="shared" si="55"/>
        <v>0</v>
      </c>
      <c r="AA35" s="69">
        <f t="shared" si="55"/>
        <v>0</v>
      </c>
      <c r="AB35" s="69">
        <f t="shared" si="55"/>
        <v>0</v>
      </c>
      <c r="AC35" s="69">
        <f t="shared" si="55"/>
        <v>0</v>
      </c>
      <c r="AD35" s="69">
        <f t="shared" si="55"/>
        <v>0</v>
      </c>
      <c r="AE35" s="74">
        <f t="shared" si="55"/>
        <v>0</v>
      </c>
      <c r="AF35" s="97"/>
      <c r="AG35" s="97"/>
      <c r="AH35" s="97"/>
      <c r="AI35" s="97"/>
      <c r="AJ35" s="97"/>
      <c r="AK35" s="97"/>
      <c r="AL35" s="97"/>
      <c r="AM35" s="97"/>
      <c r="AN35" s="97"/>
      <c r="AO35" s="97"/>
    </row>
    <row r="36" spans="2:41" x14ac:dyDescent="0.2">
      <c r="C36" s="1" t="s">
        <v>88</v>
      </c>
      <c r="D36" s="99">
        <v>1.4999999999999999E-2</v>
      </c>
      <c r="F36" s="90" t="s">
        <v>77</v>
      </c>
      <c r="G36" s="91"/>
      <c r="H36" s="92">
        <f t="shared" ref="H36:K36" si="58">+H33+H35</f>
        <v>-5004.9999999999991</v>
      </c>
      <c r="I36" s="92">
        <f t="shared" si="58"/>
        <v>-5004.9999999999991</v>
      </c>
      <c r="J36" s="92">
        <f t="shared" si="58"/>
        <v>-5004.9999999999991</v>
      </c>
      <c r="K36" s="92">
        <f t="shared" ca="1" si="58"/>
        <v>-3426619.1450710869</v>
      </c>
      <c r="L36" s="92">
        <f ca="1">+L33+L35</f>
        <v>-56242.545254116863</v>
      </c>
      <c r="M36" s="92">
        <f t="shared" ref="M36:U36" ca="1" si="59">+M33+M35</f>
        <v>-56886.920054031922</v>
      </c>
      <c r="N36" s="92">
        <f t="shared" ca="1" si="59"/>
        <v>-57532.270947172859</v>
      </c>
      <c r="O36" s="92">
        <f t="shared" ca="1" si="59"/>
        <v>-58178.599412117015</v>
      </c>
      <c r="P36" s="92">
        <f t="shared" ca="1" si="59"/>
        <v>-58825.906929681492</v>
      </c>
      <c r="Q36" s="92">
        <f t="shared" ca="1" si="59"/>
        <v>-59474.194982926514</v>
      </c>
      <c r="R36" s="92">
        <f t="shared" ca="1" si="59"/>
        <v>-60123.465057158806</v>
      </c>
      <c r="S36" s="92">
        <f t="shared" ca="1" si="59"/>
        <v>-66782.80738666447</v>
      </c>
      <c r="T36" s="92">
        <f t="shared" ca="1" si="59"/>
        <v>-61434.059735347546</v>
      </c>
      <c r="U36" s="92">
        <f t="shared" ca="1" si="59"/>
        <v>-35786.179571950153</v>
      </c>
      <c r="V36" s="92">
        <f t="shared" ref="V36:W36" ca="1" si="60">+V33+V35</f>
        <v>-35840.38815904074</v>
      </c>
      <c r="W36" s="92">
        <f t="shared" ca="1" si="60"/>
        <v>5011671.8927795729</v>
      </c>
      <c r="X36" s="92">
        <f t="shared" ref="X36" si="61">+X33+X35</f>
        <v>0</v>
      </c>
      <c r="Y36" s="92">
        <f t="shared" ref="Y36:AE36" si="62">+Y33+Y35</f>
        <v>0</v>
      </c>
      <c r="Z36" s="92">
        <f t="shared" si="62"/>
        <v>0</v>
      </c>
      <c r="AA36" s="92">
        <f t="shared" si="62"/>
        <v>0</v>
      </c>
      <c r="AB36" s="92">
        <f t="shared" si="62"/>
        <v>0</v>
      </c>
      <c r="AC36" s="92">
        <f t="shared" si="62"/>
        <v>0</v>
      </c>
      <c r="AD36" s="92">
        <f t="shared" si="62"/>
        <v>0</v>
      </c>
      <c r="AE36" s="93">
        <f t="shared" si="62"/>
        <v>0</v>
      </c>
    </row>
    <row r="37" spans="2:41" ht="17" thickBot="1" x14ac:dyDescent="0.25">
      <c r="B37" s="223" t="s">
        <v>97</v>
      </c>
      <c r="C37" s="1" t="s">
        <v>9</v>
      </c>
      <c r="D37" s="99">
        <v>0.04</v>
      </c>
      <c r="F37" s="104" t="s">
        <v>42</v>
      </c>
      <c r="G37" s="105"/>
      <c r="H37" s="106">
        <f t="shared" ref="H37:AE37" si="63">IF($D$29&gt;=H4,+G37+H36,0)</f>
        <v>-5004.9999999999991</v>
      </c>
      <c r="I37" s="106">
        <f t="shared" si="63"/>
        <v>-10009.999999999998</v>
      </c>
      <c r="J37" s="106">
        <f t="shared" si="63"/>
        <v>-15014.999999999996</v>
      </c>
      <c r="K37" s="106">
        <f t="shared" ca="1" si="63"/>
        <v>-3441634.1450710869</v>
      </c>
      <c r="L37" s="106">
        <f t="shared" ca="1" si="63"/>
        <v>-3497876.6903252038</v>
      </c>
      <c r="M37" s="106">
        <f t="shared" ref="M37" ca="1" si="64">IF($D$29&gt;=M4,+L37+M36,0)</f>
        <v>-3554763.6103792358</v>
      </c>
      <c r="N37" s="106">
        <f t="shared" ref="N37" ca="1" si="65">IF($D$29&gt;=N4,+M37+N36,0)</f>
        <v>-3612295.8813264086</v>
      </c>
      <c r="O37" s="106">
        <f t="shared" ref="O37" ca="1" si="66">IF($D$29&gt;=O4,+N37+O36,0)</f>
        <v>-3670474.4807385257</v>
      </c>
      <c r="P37" s="106">
        <f t="shared" ref="P37" ca="1" si="67">IF($D$29&gt;=P4,+O37+P36,0)</f>
        <v>-3729300.3876682073</v>
      </c>
      <c r="Q37" s="106">
        <f t="shared" ref="Q37" ca="1" si="68">IF($D$29&gt;=Q4,+P37+Q36,0)</f>
        <v>-3788774.5826511336</v>
      </c>
      <c r="R37" s="106">
        <f t="shared" ref="R37" ca="1" si="69">IF($D$29&gt;=R4,+Q37+R36,0)</f>
        <v>-3848898.0477082925</v>
      </c>
      <c r="S37" s="106">
        <f t="shared" ref="S37" ca="1" si="70">IF($D$29&gt;=S4,+R37+S36,0)</f>
        <v>-3915680.8550949572</v>
      </c>
      <c r="T37" s="106">
        <f t="shared" ref="T37:U37" ca="1" si="71">IF($D$29&gt;=T4,+S37+T36,0)</f>
        <v>-3977114.9148303047</v>
      </c>
      <c r="U37" s="106">
        <f t="shared" ca="1" si="71"/>
        <v>-4012901.094402255</v>
      </c>
      <c r="V37" s="106">
        <f t="shared" ref="V37:W37" ca="1" si="72">IF($D$29&gt;=V4,+U37+V36,0)</f>
        <v>-4048741.4825612959</v>
      </c>
      <c r="W37" s="106">
        <f t="shared" ca="1" si="72"/>
        <v>962930.41021827701</v>
      </c>
      <c r="X37" s="106">
        <f t="shared" ref="X37" si="73">IF($D$29&gt;=X4,+W37+X36,0)</f>
        <v>0</v>
      </c>
      <c r="Y37" s="106">
        <f t="shared" si="63"/>
        <v>0</v>
      </c>
      <c r="Z37" s="106">
        <f t="shared" si="63"/>
        <v>0</v>
      </c>
      <c r="AA37" s="106">
        <f t="shared" si="63"/>
        <v>0</v>
      </c>
      <c r="AB37" s="106">
        <f t="shared" si="63"/>
        <v>0</v>
      </c>
      <c r="AC37" s="106">
        <f t="shared" si="63"/>
        <v>0</v>
      </c>
      <c r="AD37" s="106">
        <f t="shared" si="63"/>
        <v>0</v>
      </c>
      <c r="AE37" s="107">
        <f t="shared" si="63"/>
        <v>0</v>
      </c>
    </row>
    <row r="38" spans="2:41" x14ac:dyDescent="0.2">
      <c r="B38" s="21">
        <v>0.21</v>
      </c>
      <c r="C38" s="1" t="s">
        <v>48</v>
      </c>
      <c r="D38" s="99">
        <v>1.4999999999999999E-2</v>
      </c>
      <c r="F38" s="111"/>
      <c r="G38" s="111"/>
      <c r="AB38" s="2"/>
      <c r="AC38" s="2"/>
    </row>
    <row r="39" spans="2:41" x14ac:dyDescent="0.2">
      <c r="C39" s="1" t="s">
        <v>49</v>
      </c>
      <c r="D39" s="103">
        <v>0.2</v>
      </c>
      <c r="F39" s="115"/>
      <c r="G39" s="2"/>
      <c r="H39" s="109" t="s">
        <v>47</v>
      </c>
      <c r="T39" s="110"/>
      <c r="U39" s="110"/>
      <c r="V39" s="110"/>
      <c r="W39" s="110"/>
      <c r="X39" s="110"/>
      <c r="Y39" s="110"/>
      <c r="Z39" s="110"/>
      <c r="AA39" s="110"/>
      <c r="AB39" s="2"/>
      <c r="AC39" s="2"/>
    </row>
    <row r="40" spans="2:41" ht="17" thickBot="1" x14ac:dyDescent="0.25">
      <c r="B40" s="100"/>
      <c r="F40" s="2"/>
      <c r="G40" s="2"/>
      <c r="H40" s="112">
        <f>+H33</f>
        <v>-5004.9999999999991</v>
      </c>
      <c r="I40" s="112">
        <f t="shared" ref="I40:L40" si="74">+I33</f>
        <v>-5004.9999999999991</v>
      </c>
      <c r="J40" s="112">
        <f t="shared" si="74"/>
        <v>-5004.9999999999991</v>
      </c>
      <c r="K40" s="112">
        <f t="shared" ca="1" si="74"/>
        <v>-3426619.1450710869</v>
      </c>
      <c r="L40" s="112">
        <f t="shared" ca="1" si="74"/>
        <v>-56242.545254116863</v>
      </c>
      <c r="M40" s="112">
        <f t="shared" ref="M40:R40" ca="1" si="75">+M33</f>
        <v>-56886.920054031922</v>
      </c>
      <c r="N40" s="112">
        <f t="shared" ca="1" si="75"/>
        <v>-57532.270947172859</v>
      </c>
      <c r="O40" s="112">
        <f t="shared" ca="1" si="75"/>
        <v>-58178.599412117015</v>
      </c>
      <c r="P40" s="112">
        <f t="shared" ca="1" si="75"/>
        <v>-58825.906929681492</v>
      </c>
      <c r="Q40" s="112">
        <f t="shared" ca="1" si="75"/>
        <v>-59474.194982926514</v>
      </c>
      <c r="R40" s="112">
        <f t="shared" ca="1" si="75"/>
        <v>-60123.465057158806</v>
      </c>
      <c r="S40" s="112">
        <f t="shared" ref="S40:V40" ca="1" si="76">+S33</f>
        <v>-66782.80738666447</v>
      </c>
      <c r="T40" s="112">
        <f t="shared" ca="1" si="76"/>
        <v>-61434.059735347546</v>
      </c>
      <c r="U40" s="112">
        <f t="shared" ca="1" si="76"/>
        <v>-35786.179571950153</v>
      </c>
      <c r="V40" s="112">
        <f t="shared" ca="1" si="76"/>
        <v>-35840.38815904074</v>
      </c>
      <c r="W40" s="113">
        <v>4430000</v>
      </c>
      <c r="X40" s="114"/>
      <c r="Y40" s="114"/>
      <c r="Z40" s="114"/>
      <c r="AA40" s="114"/>
      <c r="AB40" s="2"/>
      <c r="AC40" s="2"/>
    </row>
    <row r="41" spans="2:41" ht="17" thickBot="1" x14ac:dyDescent="0.25">
      <c r="B41" s="33">
        <f ca="1">+D41/$D$7</f>
        <v>12376.814537766273</v>
      </c>
      <c r="C41" s="118" t="s">
        <v>81</v>
      </c>
      <c r="D41" s="119">
        <f ca="1">-SUM(H17:AE19,H22:AE22,H26:AE29)</f>
        <v>9084581.8707203474</v>
      </c>
      <c r="F41" s="2"/>
      <c r="G41" s="2"/>
      <c r="H41" s="112">
        <f t="shared" ref="H41:L41" si="77">IF(H4=$D$29,+(H33-H40)*$D$39,0)</f>
        <v>0</v>
      </c>
      <c r="I41" s="112">
        <f t="shared" si="77"/>
        <v>0</v>
      </c>
      <c r="J41" s="112">
        <f t="shared" si="77"/>
        <v>0</v>
      </c>
      <c r="K41" s="112">
        <f t="shared" si="77"/>
        <v>0</v>
      </c>
      <c r="L41" s="112">
        <f t="shared" si="77"/>
        <v>0</v>
      </c>
      <c r="M41" s="112">
        <f t="shared" ref="M41:R41" si="78">IF(M4=$D$29,+(M33-M40)*$D$39,0)</f>
        <v>0</v>
      </c>
      <c r="N41" s="112">
        <f t="shared" si="78"/>
        <v>0</v>
      </c>
      <c r="O41" s="112">
        <f t="shared" si="78"/>
        <v>0</v>
      </c>
      <c r="P41" s="112">
        <f t="shared" si="78"/>
        <v>0</v>
      </c>
      <c r="Q41" s="112">
        <f t="shared" si="78"/>
        <v>0</v>
      </c>
      <c r="R41" s="112">
        <f t="shared" si="78"/>
        <v>0</v>
      </c>
      <c r="S41" s="112">
        <f t="shared" ref="S41:V41" si="79">IF(S4=$D$29,+(S33-S40)*$D$39,0)</f>
        <v>0</v>
      </c>
      <c r="T41" s="112">
        <f t="shared" si="79"/>
        <v>0</v>
      </c>
      <c r="U41" s="112">
        <f t="shared" si="79"/>
        <v>0</v>
      </c>
      <c r="V41" s="112">
        <f t="shared" si="79"/>
        <v>0</v>
      </c>
      <c r="W41" s="112">
        <f ca="1">IF(W4=$D$29,+(W33-W40)*$D$39,0)</f>
        <v>153475.43345107307</v>
      </c>
      <c r="X41" s="116"/>
      <c r="Y41" s="116"/>
      <c r="Z41" s="116"/>
      <c r="AA41" s="116"/>
      <c r="AB41" s="2"/>
      <c r="AC41" s="2"/>
    </row>
    <row r="42" spans="2:41" ht="17" thickBot="1" x14ac:dyDescent="0.25">
      <c r="F42" s="2"/>
      <c r="G42" s="2"/>
      <c r="H42" s="100" t="s">
        <v>50</v>
      </c>
      <c r="I42" s="117">
        <f ca="1">+XIRR(H40:AE40,H16:AE16)</f>
        <v>0.10149111151695253</v>
      </c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2"/>
      <c r="AC42" s="2"/>
    </row>
    <row r="43" spans="2:41" ht="17" thickBot="1" x14ac:dyDescent="0.25">
      <c r="B43" s="33"/>
      <c r="C43" s="208" t="s">
        <v>80</v>
      </c>
      <c r="D43" s="209">
        <f ca="1">+XIRR(H30:AE30,H7:AE7)</f>
        <v>0.31281507611274717</v>
      </c>
      <c r="F43" s="108"/>
      <c r="G43" s="108"/>
      <c r="H43" s="114"/>
      <c r="I43" s="114"/>
      <c r="J43" s="116"/>
      <c r="O43" s="116"/>
      <c r="P43" s="116"/>
      <c r="Q43" s="116"/>
      <c r="R43" s="116"/>
      <c r="S43" s="116"/>
      <c r="V43" s="116"/>
      <c r="W43" s="116"/>
      <c r="X43" s="116"/>
      <c r="Y43" s="116"/>
      <c r="Z43" s="116"/>
      <c r="AA43" s="116"/>
      <c r="AB43" s="2"/>
      <c r="AC43" s="2"/>
    </row>
    <row r="44" spans="2:41" ht="20" thickBot="1" x14ac:dyDescent="0.25">
      <c r="C44" s="210" t="s">
        <v>60</v>
      </c>
      <c r="D44" s="211">
        <f ca="1">+MAX(H31:AE31)</f>
        <v>1172077.2292796625</v>
      </c>
      <c r="F44" s="130"/>
      <c r="G44" s="2"/>
      <c r="H44" s="120" t="s">
        <v>51</v>
      </c>
      <c r="I44" s="121"/>
      <c r="J44" s="121"/>
      <c r="K44" s="121"/>
      <c r="L44" s="121"/>
      <c r="M44" s="121"/>
      <c r="N44" s="121"/>
      <c r="O44" s="121"/>
      <c r="P44" s="122"/>
      <c r="Q44" s="116"/>
      <c r="R44" s="207" t="s">
        <v>96</v>
      </c>
      <c r="S44" s="225"/>
      <c r="V44" s="116"/>
      <c r="W44" s="116"/>
      <c r="X44" s="116"/>
      <c r="Y44" s="116"/>
      <c r="Z44" s="116"/>
      <c r="AA44" s="116"/>
      <c r="AB44" s="2"/>
      <c r="AC44" s="2"/>
    </row>
    <row r="45" spans="2:41" ht="17" thickBot="1" x14ac:dyDescent="0.25">
      <c r="C45" s="210" t="s">
        <v>63</v>
      </c>
      <c r="D45" s="211">
        <f ca="1">+MIN(G31:AE31)</f>
        <v>-4048741.4825612959</v>
      </c>
      <c r="F45" s="2"/>
      <c r="G45" s="2"/>
      <c r="H45" s="6"/>
      <c r="I45" s="2"/>
      <c r="J45" s="125"/>
      <c r="K45" s="125"/>
      <c r="L45" s="125"/>
      <c r="M45" s="125"/>
      <c r="N45" s="125"/>
      <c r="O45" s="125"/>
      <c r="P45" s="126"/>
      <c r="Q45" s="127"/>
      <c r="R45" s="193" t="s">
        <v>91</v>
      </c>
      <c r="S45" s="194"/>
      <c r="V45" s="127"/>
      <c r="W45" s="127"/>
      <c r="X45" s="127"/>
      <c r="Y45" s="127"/>
      <c r="Z45" s="127"/>
      <c r="AA45" s="127"/>
      <c r="AB45" s="2"/>
      <c r="AC45" s="2"/>
    </row>
    <row r="46" spans="2:41" ht="17" customHeight="1" thickBot="1" x14ac:dyDescent="0.25">
      <c r="C46" s="212" t="s">
        <v>65</v>
      </c>
      <c r="D46" s="213">
        <f ca="1">1+(-D44/D45)</f>
        <v>1.2894917431325323</v>
      </c>
      <c r="F46" s="108"/>
      <c r="G46" s="108"/>
      <c r="H46" s="131"/>
      <c r="I46" s="132" t="s">
        <v>55</v>
      </c>
      <c r="J46" s="133" t="s">
        <v>56</v>
      </c>
      <c r="K46" s="134"/>
      <c r="L46" s="134"/>
      <c r="M46" s="134"/>
      <c r="N46" s="134"/>
      <c r="O46" s="135"/>
      <c r="P46" s="136"/>
      <c r="Q46" s="116"/>
      <c r="R46" s="193" t="s">
        <v>92</v>
      </c>
      <c r="S46" s="194"/>
      <c r="V46" s="116"/>
      <c r="W46" s="116"/>
      <c r="X46" s="116"/>
      <c r="Y46" s="116"/>
      <c r="Z46" s="116"/>
      <c r="AA46" s="116"/>
      <c r="AB46" s="2"/>
      <c r="AC46" s="2"/>
    </row>
    <row r="47" spans="2:41" ht="17" customHeight="1" thickBot="1" x14ac:dyDescent="0.25">
      <c r="F47" s="148"/>
      <c r="G47" s="148"/>
      <c r="H47" s="131"/>
      <c r="I47" s="138">
        <f ca="1">+D46</f>
        <v>1.2894917431325323</v>
      </c>
      <c r="J47" s="139">
        <v>14000</v>
      </c>
      <c r="K47" s="140">
        <f>+J47+500</f>
        <v>14500</v>
      </c>
      <c r="L47" s="140">
        <f t="shared" ref="L47:O47" si="80">+K47+500</f>
        <v>15000</v>
      </c>
      <c r="M47" s="140">
        <f t="shared" si="80"/>
        <v>15500</v>
      </c>
      <c r="N47" s="140">
        <f t="shared" si="80"/>
        <v>16000</v>
      </c>
      <c r="O47" s="141">
        <f t="shared" si="80"/>
        <v>16500</v>
      </c>
      <c r="P47" s="136"/>
      <c r="Q47" s="116"/>
      <c r="R47" s="193" t="s">
        <v>93</v>
      </c>
      <c r="S47" s="194"/>
      <c r="V47" s="116"/>
      <c r="W47" s="116"/>
      <c r="X47" s="116"/>
      <c r="Y47" s="116"/>
      <c r="Z47" s="116"/>
      <c r="AA47" s="116"/>
      <c r="AB47" s="2"/>
      <c r="AC47" s="2"/>
    </row>
    <row r="48" spans="2:41" ht="17" customHeight="1" x14ac:dyDescent="0.2">
      <c r="C48" s="217" t="s">
        <v>70</v>
      </c>
      <c r="D48" s="214">
        <f ca="1">+XIRR(H36:AE36,H7:AE7)</f>
        <v>0.2568311631679534</v>
      </c>
      <c r="H48" s="131"/>
      <c r="I48" s="142">
        <v>7000000</v>
      </c>
      <c r="J48" s="143">
        <f t="dataTable" ref="J48:O53" dt2D="1" dtr="1" r1="D30" r2="D8" ca="1"/>
        <v>1.2021367214490395</v>
      </c>
      <c r="K48" s="144">
        <v>1.2894917431325323</v>
      </c>
      <c r="L48" s="144">
        <v>1.3768467648160256</v>
      </c>
      <c r="M48" s="144">
        <v>1.4642017864995189</v>
      </c>
      <c r="N48" s="144">
        <v>1.5515568081830118</v>
      </c>
      <c r="O48" s="145">
        <v>1.6389118298665051</v>
      </c>
      <c r="P48" s="136"/>
      <c r="Q48" s="146"/>
      <c r="R48" s="193" t="s">
        <v>84</v>
      </c>
      <c r="S48" s="194"/>
      <c r="V48" s="146"/>
      <c r="W48" s="146"/>
      <c r="X48" s="146"/>
      <c r="Y48" s="146"/>
      <c r="Z48" s="146"/>
      <c r="AA48" s="146"/>
    </row>
    <row r="49" spans="3:27" ht="17" customHeight="1" x14ac:dyDescent="0.2">
      <c r="C49" s="218" t="s">
        <v>60</v>
      </c>
      <c r="D49" s="215">
        <f ca="1">+MAX(H37:AE37)</f>
        <v>962930.41021827701</v>
      </c>
      <c r="H49" s="149"/>
      <c r="I49" s="150">
        <f>+I48+100000</f>
        <v>7100000</v>
      </c>
      <c r="J49" s="151">
        <v>1.1718241515137164</v>
      </c>
      <c r="K49" s="152">
        <v>1.2569792339152301</v>
      </c>
      <c r="L49" s="152">
        <v>1.3421343163167496</v>
      </c>
      <c r="M49" s="152">
        <v>1.4272893987182689</v>
      </c>
      <c r="N49" s="152">
        <v>1.5124444811197879</v>
      </c>
      <c r="O49" s="153">
        <v>1.5975995635213074</v>
      </c>
      <c r="P49" s="136"/>
      <c r="Q49" s="57"/>
      <c r="R49" s="195" t="s">
        <v>94</v>
      </c>
      <c r="S49" s="196"/>
      <c r="V49" s="57"/>
      <c r="W49" s="57"/>
      <c r="X49" s="57"/>
      <c r="Y49" s="57"/>
      <c r="Z49" s="57"/>
      <c r="AA49" s="57"/>
    </row>
    <row r="50" spans="3:27" ht="17" customHeight="1" x14ac:dyDescent="0.2">
      <c r="C50" s="218" t="s">
        <v>63</v>
      </c>
      <c r="D50" s="215">
        <f ca="1">+MIN(H37:AE37)</f>
        <v>-4048741.4825612959</v>
      </c>
      <c r="H50" s="149" t="s">
        <v>66</v>
      </c>
      <c r="I50" s="150">
        <f t="shared" ref="I50:I53" si="81">+I49+100000</f>
        <v>7200000</v>
      </c>
      <c r="J50" s="151">
        <v>1.1430008528062328</v>
      </c>
      <c r="K50" s="152">
        <v>1.2260640800071498</v>
      </c>
      <c r="L50" s="154">
        <v>1.3091273072080727</v>
      </c>
      <c r="M50" s="154">
        <v>1.3921905344089955</v>
      </c>
      <c r="N50" s="152">
        <v>1.4752537616099182</v>
      </c>
      <c r="O50" s="153">
        <v>1.558316988810841</v>
      </c>
      <c r="P50" s="136"/>
      <c r="R50" s="197" t="s">
        <v>95</v>
      </c>
      <c r="S50" s="198"/>
      <c r="T50" s="41"/>
    </row>
    <row r="51" spans="3:27" ht="17" customHeight="1" thickBot="1" x14ac:dyDescent="0.25">
      <c r="C51" s="219" t="s">
        <v>73</v>
      </c>
      <c r="D51" s="216">
        <f ca="1">1+(-D49/D50)</f>
        <v>1.2378345010087215</v>
      </c>
      <c r="E51" s="2"/>
      <c r="H51" s="149"/>
      <c r="I51" s="150">
        <f t="shared" si="81"/>
        <v>7300000</v>
      </c>
      <c r="J51" s="151">
        <v>1.1155597038671348</v>
      </c>
      <c r="K51" s="152">
        <v>1.1966313855929438</v>
      </c>
      <c r="L51" s="154">
        <v>1.2777030673187579</v>
      </c>
      <c r="M51" s="154">
        <v>1.3587747490445723</v>
      </c>
      <c r="N51" s="152">
        <v>1.4398464307703862</v>
      </c>
      <c r="O51" s="153">
        <v>1.5209181124962003</v>
      </c>
      <c r="P51" s="136"/>
      <c r="R51" s="199" t="s">
        <v>85</v>
      </c>
      <c r="S51" s="200"/>
    </row>
    <row r="52" spans="3:27" ht="17" customHeight="1" thickBot="1" x14ac:dyDescent="0.25">
      <c r="E52" s="162"/>
      <c r="H52" s="149"/>
      <c r="I52" s="150">
        <f t="shared" si="81"/>
        <v>7400000</v>
      </c>
      <c r="J52" s="151">
        <v>1.0894036161722687</v>
      </c>
      <c r="K52" s="152">
        <v>1.1685770159343427</v>
      </c>
      <c r="L52" s="152">
        <v>1.2477504156964219</v>
      </c>
      <c r="M52" s="152">
        <v>1.326923815458501</v>
      </c>
      <c r="N52" s="152">
        <v>1.4060972152205802</v>
      </c>
      <c r="O52" s="153">
        <v>1.4852706149826593</v>
      </c>
      <c r="P52" s="136"/>
      <c r="R52" s="201" t="s">
        <v>86</v>
      </c>
      <c r="S52" s="114">
        <f>+SUM(S45:S51)</f>
        <v>0</v>
      </c>
    </row>
    <row r="53" spans="3:27" ht="17" customHeight="1" thickBot="1" x14ac:dyDescent="0.25">
      <c r="C53" s="163" t="s">
        <v>74</v>
      </c>
      <c r="D53" s="164">
        <f ca="1">-SUM(H27:AE29)</f>
        <v>207366.20405366909</v>
      </c>
      <c r="E53" s="2"/>
      <c r="H53" s="149"/>
      <c r="I53" s="156">
        <f t="shared" si="81"/>
        <v>7500000</v>
      </c>
      <c r="J53" s="157">
        <v>1.0644443864077928</v>
      </c>
      <c r="K53" s="158">
        <v>1.1418063663488542</v>
      </c>
      <c r="L53" s="158">
        <v>1.219168346289921</v>
      </c>
      <c r="M53" s="158">
        <v>1.2965303262309877</v>
      </c>
      <c r="N53" s="158">
        <v>1.3738923061720545</v>
      </c>
      <c r="O53" s="159">
        <v>1.4512542861131212</v>
      </c>
      <c r="P53" s="136"/>
      <c r="R53" s="202" t="s">
        <v>87</v>
      </c>
      <c r="S53" s="195">
        <f>+S52-S44</f>
        <v>0</v>
      </c>
    </row>
    <row r="54" spans="3:27" ht="17" customHeight="1" thickBot="1" x14ac:dyDescent="0.25">
      <c r="C54" s="165" t="s">
        <v>76</v>
      </c>
      <c r="D54" s="166">
        <f ca="1">-SUM(H35:AE35)</f>
        <v>185705.27447579231</v>
      </c>
      <c r="E54" s="2"/>
      <c r="H54" s="161"/>
      <c r="I54" s="2"/>
      <c r="J54" s="2"/>
      <c r="K54" s="2"/>
      <c r="L54" s="2"/>
      <c r="M54" s="2"/>
      <c r="N54" s="2"/>
      <c r="O54" s="2"/>
      <c r="P54" s="136"/>
      <c r="T54" s="188"/>
    </row>
    <row r="55" spans="3:27" ht="17" customHeight="1" thickBot="1" x14ac:dyDescent="0.25">
      <c r="D55" s="171">
        <f ca="1">+SUM(D53:D54)</f>
        <v>393071.47852946143</v>
      </c>
      <c r="E55" s="2"/>
      <c r="H55" s="161"/>
      <c r="I55" s="2"/>
      <c r="J55" s="2"/>
      <c r="K55" s="2"/>
      <c r="L55" s="2"/>
      <c r="M55" s="2"/>
      <c r="N55" s="2"/>
      <c r="O55" s="2"/>
      <c r="P55" s="136"/>
      <c r="R55" s="123" t="s">
        <v>52</v>
      </c>
      <c r="S55" s="124"/>
      <c r="T55" s="123" t="s">
        <v>53</v>
      </c>
      <c r="U55" s="124"/>
    </row>
    <row r="56" spans="3:27" ht="17" customHeight="1" thickBot="1" x14ac:dyDescent="0.25">
      <c r="E56" s="2"/>
      <c r="H56" s="161"/>
      <c r="I56" s="2"/>
      <c r="J56" s="2"/>
      <c r="K56" s="2"/>
      <c r="L56" s="2"/>
      <c r="M56" s="2"/>
      <c r="N56" s="2"/>
      <c r="O56" s="2"/>
      <c r="P56" s="136"/>
      <c r="R56" s="128" t="s">
        <v>54</v>
      </c>
      <c r="S56" s="129">
        <f>+S46</f>
        <v>0</v>
      </c>
      <c r="T56" s="59">
        <f>+SUM(H17:AE17)</f>
        <v>-7000000</v>
      </c>
      <c r="U56" s="116" t="s">
        <v>22</v>
      </c>
    </row>
    <row r="57" spans="3:27" ht="17" customHeight="1" x14ac:dyDescent="0.2">
      <c r="C57" s="1" t="s">
        <v>99</v>
      </c>
      <c r="D57" s="112">
        <f ca="1">-SUM(H27:AE27)-SUM(H28:AE28,H29:AE29)/1.21</f>
        <v>184393.55706914811</v>
      </c>
      <c r="E57" s="2"/>
      <c r="H57" s="161"/>
      <c r="I57" s="132" t="s">
        <v>75</v>
      </c>
      <c r="J57" s="133" t="s">
        <v>56</v>
      </c>
      <c r="K57" s="134"/>
      <c r="L57" s="134"/>
      <c r="M57" s="134"/>
      <c r="N57" s="134"/>
      <c r="O57" s="135"/>
      <c r="P57" s="136"/>
      <c r="R57" s="128" t="s">
        <v>57</v>
      </c>
      <c r="S57" s="137">
        <f>+S45+S47+S48</f>
        <v>0</v>
      </c>
      <c r="T57" s="116">
        <f>+SUM(H18:AE18)</f>
        <v>-296020</v>
      </c>
      <c r="U57" s="128" t="s">
        <v>24</v>
      </c>
    </row>
    <row r="58" spans="3:27" ht="17" customHeight="1" thickBot="1" x14ac:dyDescent="0.25">
      <c r="C58" s="1" t="s">
        <v>49</v>
      </c>
      <c r="D58" s="112">
        <f ca="1">-SUM(H35:AE35)/1.21</f>
        <v>153475.43345106803</v>
      </c>
      <c r="E58" s="179"/>
      <c r="H58" s="161"/>
      <c r="I58" s="167">
        <f ca="1">+D43</f>
        <v>0.31281507611274717</v>
      </c>
      <c r="J58" s="168">
        <f t="shared" ref="J58:N58" si="82">+J47</f>
        <v>14000</v>
      </c>
      <c r="K58" s="169">
        <f t="shared" si="82"/>
        <v>14500</v>
      </c>
      <c r="L58" s="169">
        <f t="shared" si="82"/>
        <v>15000</v>
      </c>
      <c r="M58" s="169">
        <f t="shared" si="82"/>
        <v>15500</v>
      </c>
      <c r="N58" s="169">
        <f t="shared" si="82"/>
        <v>16000</v>
      </c>
      <c r="O58" s="170">
        <f>+O47</f>
        <v>16500</v>
      </c>
      <c r="P58" s="136"/>
      <c r="R58" s="128" t="s">
        <v>58</v>
      </c>
      <c r="S58" s="137"/>
      <c r="T58" s="116">
        <f>+SUM(H19:X19)</f>
        <v>-1198989</v>
      </c>
      <c r="U58" s="128" t="s">
        <v>59</v>
      </c>
    </row>
    <row r="59" spans="3:27" ht="17" customHeight="1" thickBot="1" x14ac:dyDescent="0.25">
      <c r="C59" s="220" t="s">
        <v>98</v>
      </c>
      <c r="D59" s="221">
        <f ca="1">+D57+D58</f>
        <v>337868.99052021618</v>
      </c>
      <c r="E59" s="2"/>
      <c r="H59" s="161"/>
      <c r="I59" s="172">
        <f>+I48</f>
        <v>7000000</v>
      </c>
      <c r="J59" s="173">
        <f t="dataTable" ref="J59:O64" dt2D="1" dtr="1" r1="D30" r2="D8" ca="1"/>
        <v>0.21818167567253113</v>
      </c>
      <c r="K59" s="174">
        <v>0.31281507611274717</v>
      </c>
      <c r="L59" s="174">
        <v>0.40762571692466743</v>
      </c>
      <c r="M59" s="174">
        <v>0.50259684920310999</v>
      </c>
      <c r="N59" s="174">
        <v>0.59771421551704407</v>
      </c>
      <c r="O59" s="175">
        <v>0.69296556711196922</v>
      </c>
      <c r="P59" s="136"/>
      <c r="R59" s="128" t="s">
        <v>61</v>
      </c>
      <c r="S59" s="147"/>
      <c r="T59" s="116">
        <f>+SUM(H26:X26)</f>
        <v>-29400</v>
      </c>
      <c r="U59" s="128" t="s">
        <v>62</v>
      </c>
    </row>
    <row r="60" spans="3:27" ht="17" customHeight="1" x14ac:dyDescent="0.2">
      <c r="E60" s="2"/>
      <c r="H60" s="161"/>
      <c r="I60" s="172">
        <f t="shared" ref="I60:I64" si="83">+I49</f>
        <v>7100000</v>
      </c>
      <c r="J60" s="176">
        <v>0.18506060242652897</v>
      </c>
      <c r="K60" s="177">
        <v>0.27707312703132625</v>
      </c>
      <c r="L60" s="177">
        <v>0.36925587058067322</v>
      </c>
      <c r="M60" s="177">
        <v>0.46159270405769348</v>
      </c>
      <c r="N60" s="177">
        <v>0.55406993031501783</v>
      </c>
      <c r="O60" s="178">
        <v>0.64667579531669628</v>
      </c>
      <c r="P60" s="136"/>
      <c r="R60" s="128" t="s">
        <v>64</v>
      </c>
      <c r="S60" s="116">
        <f>+D22</f>
        <v>0</v>
      </c>
      <c r="T60" s="116">
        <f ca="1">+SUM(H27:X29)</f>
        <v>-207366.20405366909</v>
      </c>
      <c r="U60" s="128" t="s">
        <v>46</v>
      </c>
    </row>
    <row r="61" spans="3:27" x14ac:dyDescent="0.2">
      <c r="H61" s="149" t="s">
        <v>66</v>
      </c>
      <c r="I61" s="172">
        <f t="shared" si="83"/>
        <v>7200000</v>
      </c>
      <c r="J61" s="176">
        <v>0.15370109677314767</v>
      </c>
      <c r="K61" s="177">
        <v>0.24323458075523371</v>
      </c>
      <c r="L61" s="180">
        <v>0.3329317152500153</v>
      </c>
      <c r="M61" s="180">
        <v>0.42277697920799262</v>
      </c>
      <c r="N61" s="177">
        <v>0.51275721192359924</v>
      </c>
      <c r="O61" s="178">
        <v>0.60286108851432818</v>
      </c>
      <c r="P61" s="136"/>
      <c r="R61" s="128" t="s">
        <v>67</v>
      </c>
      <c r="S61" s="116">
        <f>+D23</f>
        <v>1000999.9999999999</v>
      </c>
      <c r="T61" s="116">
        <f>+SUM(H22:AE22)</f>
        <v>-352806.66666666674</v>
      </c>
      <c r="U61" s="87" t="s">
        <v>68</v>
      </c>
    </row>
    <row r="62" spans="3:27" x14ac:dyDescent="0.2">
      <c r="H62" s="161"/>
      <c r="I62" s="172">
        <f t="shared" si="83"/>
        <v>7300000</v>
      </c>
      <c r="J62" s="176">
        <v>0.12396559119224548</v>
      </c>
      <c r="K62" s="177">
        <v>0.21115060448646553</v>
      </c>
      <c r="L62" s="180">
        <v>0.29849314093589785</v>
      </c>
      <c r="M62" s="180">
        <v>0.38597826361656196</v>
      </c>
      <c r="N62" s="177">
        <v>0.47359326481819142</v>
      </c>
      <c r="O62" s="178">
        <v>0.56132726073265071</v>
      </c>
      <c r="P62" s="136"/>
      <c r="R62" s="155" t="s">
        <v>69</v>
      </c>
      <c r="S62" s="155">
        <f>+SUM(S56:S61)</f>
        <v>1000999.9999999999</v>
      </c>
      <c r="T62" s="155">
        <f ca="1">+SUM(T56:T61)</f>
        <v>-9084581.8707203344</v>
      </c>
      <c r="U62" s="146" t="s">
        <v>89</v>
      </c>
    </row>
    <row r="63" spans="3:27" x14ac:dyDescent="0.2">
      <c r="H63" s="161"/>
      <c r="I63" s="172">
        <f t="shared" si="83"/>
        <v>7400000</v>
      </c>
      <c r="J63" s="176">
        <v>9.5730504393577581E-2</v>
      </c>
      <c r="K63" s="177">
        <v>0.18068755269050596</v>
      </c>
      <c r="L63" s="177">
        <v>0.26579639315605164</v>
      </c>
      <c r="M63" s="177">
        <v>0.35104262232780459</v>
      </c>
      <c r="N63" s="177">
        <v>0.43641399741172782</v>
      </c>
      <c r="O63" s="178">
        <v>0.52190000414848337</v>
      </c>
      <c r="P63" s="136"/>
      <c r="T63" s="205">
        <f ca="1">+T62+D41</f>
        <v>0</v>
      </c>
      <c r="U63" s="204" t="s">
        <v>90</v>
      </c>
    </row>
    <row r="64" spans="3:27" ht="17" thickBot="1" x14ac:dyDescent="0.25">
      <c r="H64" s="161"/>
      <c r="I64" s="181">
        <f t="shared" si="83"/>
        <v>7500000</v>
      </c>
      <c r="J64" s="182">
        <v>6.8884530663490304E-2</v>
      </c>
      <c r="K64" s="183">
        <v>0.15172505974769593</v>
      </c>
      <c r="L64" s="183">
        <v>0.2347119987010956</v>
      </c>
      <c r="M64" s="183">
        <v>0.31783146262168893</v>
      </c>
      <c r="N64" s="183">
        <v>0.4010716259479522</v>
      </c>
      <c r="O64" s="184">
        <v>0.48442234396934503</v>
      </c>
      <c r="P64" s="136"/>
      <c r="R64" s="54" t="s">
        <v>71</v>
      </c>
      <c r="S64" s="160">
        <f>+SUM(S56:S59)</f>
        <v>0</v>
      </c>
    </row>
    <row r="65" spans="3:20" x14ac:dyDescent="0.2">
      <c r="H65" s="131"/>
      <c r="I65" s="2"/>
      <c r="J65" s="2"/>
      <c r="K65" s="2"/>
      <c r="L65" s="2"/>
      <c r="M65" s="2"/>
      <c r="N65" s="2"/>
      <c r="O65" s="2"/>
      <c r="P65" s="136"/>
      <c r="R65" s="54" t="s">
        <v>72</v>
      </c>
      <c r="S65" s="206">
        <f ca="1">-D45</f>
        <v>4048741.4825612959</v>
      </c>
    </row>
    <row r="66" spans="3:20" ht="17" thickBot="1" x14ac:dyDescent="0.25">
      <c r="H66" s="185"/>
      <c r="I66" s="186"/>
      <c r="J66" s="186"/>
      <c r="K66" s="186"/>
      <c r="L66" s="186"/>
      <c r="M66" s="186"/>
      <c r="N66" s="186"/>
      <c r="O66" s="186"/>
      <c r="P66" s="187"/>
      <c r="T66" s="188"/>
    </row>
    <row r="67" spans="3:20" x14ac:dyDescent="0.2">
      <c r="H67" s="2"/>
      <c r="I67" s="2"/>
      <c r="J67" s="2"/>
      <c r="K67" s="2"/>
      <c r="L67" s="2"/>
      <c r="M67" s="2"/>
      <c r="N67" s="2"/>
      <c r="O67" s="2"/>
      <c r="P67" s="2"/>
    </row>
    <row r="68" spans="3:20" ht="17" thickBot="1" x14ac:dyDescent="0.25">
      <c r="C68" s="100" t="s">
        <v>104</v>
      </c>
      <c r="D68" s="228">
        <v>200000</v>
      </c>
      <c r="H68" s="229">
        <f>+H17</f>
        <v>-1000999.9999999999</v>
      </c>
      <c r="I68" s="229">
        <v>0</v>
      </c>
      <c r="J68" s="229">
        <v>0</v>
      </c>
      <c r="K68" s="229">
        <v>0</v>
      </c>
      <c r="L68" s="229">
        <f>-$H$68+$D$68</f>
        <v>1201000</v>
      </c>
      <c r="M68" s="229"/>
    </row>
    <row r="69" spans="3:20" x14ac:dyDescent="0.2">
      <c r="C69" s="217" t="s">
        <v>70</v>
      </c>
      <c r="D69" s="214">
        <f>+XIRR(H68:AE68,H16:AE16)</f>
        <v>0.72456017732620248</v>
      </c>
    </row>
    <row r="70" spans="3:20" x14ac:dyDescent="0.2">
      <c r="C70" s="218" t="s">
        <v>60</v>
      </c>
      <c r="D70" s="215">
        <f>+D68</f>
        <v>200000</v>
      </c>
    </row>
    <row r="71" spans="3:20" x14ac:dyDescent="0.2">
      <c r="C71" s="218" t="s">
        <v>63</v>
      </c>
      <c r="D71" s="215">
        <f>+MIN(H68:AE68)</f>
        <v>-1000999.9999999999</v>
      </c>
    </row>
    <row r="72" spans="3:20" ht="17" thickBot="1" x14ac:dyDescent="0.25">
      <c r="C72" s="219" t="s">
        <v>73</v>
      </c>
      <c r="D72" s="216">
        <f>1+(-D70/D71)</f>
        <v>1.1998001998001999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0A5E8F3763488FD6B44FC384E200" ma:contentTypeVersion="14" ma:contentTypeDescription="Create a new document." ma:contentTypeScope="" ma:versionID="cd9f795eeeb9ef1f209e779f7df677ac">
  <xsd:schema xmlns:xsd="http://www.w3.org/2001/XMLSchema" xmlns:xs="http://www.w3.org/2001/XMLSchema" xmlns:p="http://schemas.microsoft.com/office/2006/metadata/properties" xmlns:ns2="3c382384-f7bf-4ecf-a196-edde054f728c" xmlns:ns3="b47a98ae-c1f1-4dda-8d49-fb2c557dbf00" targetNamespace="http://schemas.microsoft.com/office/2006/metadata/properties" ma:root="true" ma:fieldsID="bf11d42a6ff894731b1bc7a7ef418481" ns2:_="" ns3:_="">
    <xsd:import namespace="3c382384-f7bf-4ecf-a196-edde054f728c"/>
    <xsd:import namespace="b47a98ae-c1f1-4dda-8d49-fb2c557dbf0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82384-f7bf-4ecf-a196-edde054f72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db96ca8-1fe3-4dc0-a6f6-e50637cdd6a8}" ma:internalName="TaxCatchAll" ma:showField="CatchAllData" ma:web="3c382384-f7bf-4ecf-a196-edde054f72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a98ae-c1f1-4dda-8d49-fb2c557db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243f293-c738-4a07-80ad-dcfbc593e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9B8E15-2EC3-49C9-BFD5-51FAD99FBF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E091F8-D769-4265-96DD-67CDA7E8D8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382384-f7bf-4ecf-a196-edde054f728c"/>
    <ds:schemaRef ds:uri="b47a98ae-c1f1-4dda-8d49-fb2c557dbf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Btesh</dc:creator>
  <cp:lastModifiedBy>Mayer Nicolas Attie</cp:lastModifiedBy>
  <dcterms:created xsi:type="dcterms:W3CDTF">2023-09-25T10:19:09Z</dcterms:created>
  <dcterms:modified xsi:type="dcterms:W3CDTF">2024-07-17T13:47:34Z</dcterms:modified>
</cp:coreProperties>
</file>